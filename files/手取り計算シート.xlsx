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売上記録" sheetId="3" state="visible" r:id="rId3"/>
    <sheet xmlns:r="http://schemas.openxmlformats.org/officeDocument/2006/relationships" name="経費" sheetId="4" state="visible" r:id="rId4"/>
    <sheet xmlns:r="http://schemas.openxmlformats.org/officeDocument/2006/relationships" name="まとめ" sheetId="5" state="visible" r:id="rId5"/>
    <sheet xmlns:r="http://schemas.openxmlformats.org/officeDocument/2006/relationships" name="手取り早見" sheetId="6" state="visible" r:id="rId6"/>
  </sheets>
  <definedNames>
    <definedName name="_xlnm.Print_Area" localSheetId="0">'使い方'!$A$1:$A$37</definedName>
    <definedName name="_xlnm.Print_Area" localSheetId="1">'設定'!$A$1:$G$19</definedName>
    <definedName name="_xlnm.Print_Titles" localSheetId="2">'売上記録'!$1:$1</definedName>
    <definedName name="_xlnm.Print_Area" localSheetId="2">'売上記録'!$A$1:$J$201</definedName>
    <definedName name="_xlnm.Print_Titles" localSheetId="3">'経費'!$1:$1</definedName>
    <definedName name="_xlnm.Print_Area" localSheetId="3">'経費'!$A$1:$D$201</definedName>
    <definedName name="_xlnm.Print_Area" localSheetId="4">'まとめ'!$A$1:$C$23</definedName>
    <definedName name="_xlnm.Print_Area" localSheetId="5">'手取り早見'!$A$1:$G$25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[Red]-#,##0"/>
    <numFmt numFmtId="166" formatCode="yyyy-mm-dd"/>
    <numFmt numFmtId="167" formatCode="yyyy/m/d"/>
    <numFmt numFmtId="168" formatCode="0&quot;件&quot;"/>
  </numFmts>
  <fonts count="7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color rgb="00C00000"/>
      <sz val="11"/>
    </font>
    <font>
      <name val="Yu Gothic"/>
      <sz val="11"/>
    </font>
    <font>
      <name val="Yu Gothic"/>
      <b val="1"/>
      <sz val="12"/>
    </font>
    <font>
      <name val="Yu Gothic"/>
      <color rgb="00555555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FFF4C2"/>
      </patternFill>
    </fill>
    <fill>
      <patternFill patternType="solid">
        <fgColor rgb="00EDED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0" borderId="0" pivotButton="0" quotePrefix="0" xfId="0"/>
    <xf numFmtId="0" fontId="6" fillId="0" borderId="1" applyAlignment="1" pivotButton="0" quotePrefix="0" xfId="0">
      <alignment vertical="center" wrapText="1"/>
    </xf>
    <xf numFmtId="4" fontId="3" fillId="3" borderId="1" pivotButton="0" quotePrefix="0" xfId="0"/>
    <xf numFmtId="165" fontId="3" fillId="4" borderId="1" pivotButton="0" quotePrefix="0" xfId="0"/>
    <xf numFmtId="167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165" fontId="6" fillId="4" borderId="1" pivotButton="0" quotePrefix="0" xfId="0"/>
    <xf numFmtId="0" fontId="5" fillId="3" borderId="1" pivotButton="0" quotePrefix="0" xfId="0"/>
    <xf numFmtId="165" fontId="3" fillId="4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168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6" fillId="0" borderId="0" pivotButton="0" quotePrefix="0" xfId="0"/>
    <xf numFmtId="165" fontId="6" fillId="3" borderId="1" pivotButton="0" quotePrefix="0" xfId="0"/>
    <xf numFmtId="165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手取り計算シート(お小遣い副業 スターターパック ④)</t>
        </is>
      </c>
    </row>
    <row r="2">
      <c r="A2" s="2" t="inlineStr">
        <is>
          <t>※ このファイルに入っている日付・内容・金額は、ぜんぶ練習用のサンプル(架空)です。</t>
        </is>
      </c>
    </row>
    <row r="3">
      <c r="A3" s="3" t="inlineStr"/>
    </row>
    <row r="4">
      <c r="A4" s="4" t="inlineStr">
        <is>
          <t>【このシートでわかること】</t>
        </is>
      </c>
    </row>
    <row r="5">
      <c r="A5" s="3" t="inlineStr">
        <is>
          <t>売れた金額から、売り場の手数料を引いた「手取り」と、経費を引いた「所得(もうけ)」が自動で出ます。第4章②「副業の売上と経費の記録シート」をくわしくしたものです。</t>
        </is>
      </c>
    </row>
    <row r="6">
      <c r="A6" s="3" t="inlineStr"/>
    </row>
    <row r="7">
      <c r="A7" s="4" t="inlineStr">
        <is>
          <t>【色の意味】</t>
        </is>
      </c>
    </row>
    <row r="8">
      <c r="A8" s="3" t="inlineStr">
        <is>
          <t>黄色のマス = あなたが書き込むところ　／　灰色のマス = 自動で計算されるところ(さわらない)</t>
        </is>
      </c>
    </row>
    <row r="9">
      <c r="A9" s="3" t="inlineStr"/>
    </row>
    <row r="10">
      <c r="A10" s="4" t="inlineStr">
        <is>
          <t>【まずは練習】</t>
        </is>
      </c>
    </row>
    <row r="11">
      <c r="A11" s="3" t="inlineStr">
        <is>
          <t>1. 「まとめ」を開いて、サンプルの数字で何が出ているかを見ます(今は赤字の例です)。</t>
        </is>
      </c>
    </row>
    <row r="12">
      <c r="A12" s="3" t="inlineStr">
        <is>
          <t>2. 「売上記録」の売上額(D列)を1つ書き換えて、「まとめ」の数字が変わるのを見ます。</t>
        </is>
      </c>
    </row>
    <row r="13">
      <c r="A13" s="3" t="inlineStr">
        <is>
          <t>3. 「手取り早見」で、売値を書き換えると、売り場ごとの1件の手取りが変わるのを見ます。</t>
        </is>
      </c>
    </row>
    <row r="14">
      <c r="A14" s="3" t="inlineStr"/>
    </row>
    <row r="15">
      <c r="A15" s="4" t="inlineStr">
        <is>
          <t>【自分の数字を入れる手順】</t>
        </is>
      </c>
    </row>
    <row r="16">
      <c r="A16" s="3" t="inlineStr">
        <is>
          <t>1. このファイルをコピーして、別の名前で保存します(元のファイルは練習用に残しておきます)。</t>
        </is>
      </c>
    </row>
    <row r="17">
      <c r="A17" s="3" t="inlineStr">
        <is>
          <t>2. コピーした方の「売上記録」で、黄色のA〜D列とJ列のサンプル(2〜7行目)を選び、Deleteキーで中身を消します。</t>
        </is>
      </c>
    </row>
    <row r="18">
      <c r="A18" s="5" t="inlineStr">
        <is>
          <t xml:space="preserve">　 ※ 行ごと削除するのではなく「中身だけ消す」です。灰色のE〜I列(計算の式)は消しません。</t>
        </is>
      </c>
    </row>
    <row r="19">
      <c r="A19" s="3" t="inlineStr">
        <is>
          <t>3. 「経費」も同じように、黄色のA〜D列のサンプル(2〜9行目)の中身を消します。</t>
        </is>
      </c>
    </row>
    <row r="20">
      <c r="A20" s="3" t="inlineStr">
        <is>
          <t>4. 「設定」で、使う売り場の手数料を、公式ページで確かめた最新の数字に書き換えます。</t>
        </is>
      </c>
    </row>
    <row r="21">
      <c r="A21" s="5" t="inlineStr">
        <is>
          <t xml:space="preserve">　 ※ 率は「22%」のように、%まで打ちます。為替レート(1ドルが何円か)は、カードの明細などを見て自分で入れます。</t>
        </is>
      </c>
    </row>
    <row r="22">
      <c r="A22" s="3" t="inlineStr">
        <is>
          <t>5. 売れたら「売上記録」に、日付・売り場(▼から選ぶ)・内容・売上額を入れます。手数料と手取りは自動で出ます(200行まで)。</t>
        </is>
      </c>
    </row>
    <row r="23">
      <c r="A23" s="3" t="inlineStr">
        <is>
          <t>6. かかったお金(Claude Codeの月額、ドメイン代、noteの振込手数料など)は「経費」に入れます。</t>
        </is>
      </c>
    </row>
    <row r="24">
      <c r="A24" s="3" t="inlineStr">
        <is>
          <t>7. 「まとめ」で、手取り・経費・所得と、年20万円の目安までの残りを見ます。</t>
        </is>
      </c>
    </row>
    <row r="25">
      <c r="A25" s="3" t="inlineStr"/>
    </row>
    <row r="26">
      <c r="A26" s="4" t="inlineStr">
        <is>
          <t>【手数料の計算の順番(設定の初期値)】</t>
        </is>
      </c>
    </row>
    <row r="27">
      <c r="A27" s="3" t="inlineStr">
        <is>
          <t>決済手数料 = 売値 × 決済手数料率(円未満は切り捨て)　→　利用料 = (売値 − 決済手数料) × 利用料率　→　手数料合計 = 決済手数料 + 利用料 + 1件ごとの固定額</t>
        </is>
      </c>
    </row>
    <row r="28">
      <c r="A28" s="3" t="inlineStr">
        <is>
          <t>例: 1,000円が1件売れたときの手取りは、ココナラ780円、BOOTH899円、note855円(noteはカード払い。50円+95円=145円を引く)。</t>
        </is>
      </c>
    </row>
    <row r="29">
      <c r="A29" s="3" t="inlineStr">
        <is>
          <t>noteの「585円」(公式ヘルプの例)は、1件だけ売って振り込んだ場合に、1件の手取り855円から振込手数料270円を1回引いた額です。1件の手取り(855円)とは別のものです。</t>
        </is>
      </c>
    </row>
    <row r="30">
      <c r="A30" s="3" t="inlineStr">
        <is>
          <t>BOOTHの5.6%は、公式のお知らせのとおり円未満を切り上げにしています(例: 1,234円 → 69.1円 → 70円。これに45円を足して115円)。</t>
        </is>
      </c>
    </row>
    <row r="31">
      <c r="A31" s="3" t="inlineStr"/>
    </row>
    <row r="32">
      <c r="A32" s="4" t="inlineStr">
        <is>
          <t>【大事な注意】</t>
        </is>
      </c>
    </row>
    <row r="33">
      <c r="A33" s="3" t="inlineStr">
        <is>
          <t>・手数料は2026年10月時点の目安です。売り場の料金は変わります。使う前に、必ず各売り場の公式ページで確認してください。</t>
        </is>
      </c>
    </row>
    <row r="34">
      <c r="A34" s="3" t="inlineStr">
        <is>
          <t>・ココナラとBOOTHの出金(売上を引き出すとき)の手数料は、このシートに入れていません。かかった場合は「経費」に入れます。</t>
        </is>
      </c>
    </row>
    <row r="35">
      <c r="A35" s="3" t="inlineStr">
        <is>
          <t>・まとめの判定は、所得税の一般的な目安です。税の相談ではありません。住民税の申告は別です。迷ったら、税務署・市区町村・税理士に相談してください。</t>
        </is>
      </c>
    </row>
    <row r="36">
      <c r="A36" s="3" t="inlineStr">
        <is>
          <t>・出品や入金は、大人の名義で行ってください。</t>
        </is>
      </c>
    </row>
    <row r="37">
      <c r="A37" s="3" t="inlineStr">
        <is>
          <t>・お客さんの名前や連絡先、パスワードは、このシートに書かないでください。</t>
        </is>
      </c>
    </row>
  </sheetData>
  <printOptions horizontalCentered="1"/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3" customWidth="1" min="4" max="4"/>
    <col width="13" customWidth="1" min="5" max="5"/>
    <col width="16" customWidth="1" min="6" max="6"/>
    <col width="60" customWidth="1" min="7" max="7"/>
  </cols>
  <sheetData>
    <row r="1">
      <c r="A1" s="6" t="inlineStr">
        <is>
          <t>設定(黄色いマスを、自分の状況に合わせて書き換えます)</t>
        </is>
      </c>
    </row>
    <row r="2">
      <c r="A2" s="7" t="inlineStr">
        <is>
          <t>※ 手数料は2026年10月時点の目安です。使う前に、必ず各売り場の公式ページで確認してください。</t>
        </is>
      </c>
    </row>
    <row r="3">
      <c r="A3" s="8" t="inlineStr">
        <is>
          <t>※ ココナラ・BOOTHの出金(売上を引き出すとき)の手数料は入れていません。かかったら「経費」シートに入れます。</t>
        </is>
      </c>
    </row>
    <row r="5" ht="34" customHeight="1">
      <c r="A5" s="9" t="inlineStr">
        <is>
          <t>売り場</t>
        </is>
      </c>
      <c r="B5" s="9" t="inlineStr">
        <is>
          <t>決済手数料率(%)
先に引く</t>
        </is>
      </c>
      <c r="C5" s="9" t="inlineStr">
        <is>
          <t>利用料率(%)
残りにかける</t>
        </is>
      </c>
      <c r="D5" s="9" t="inlineStr">
        <is>
          <t>1件ごとの
固定額(円)</t>
        </is>
      </c>
      <c r="E5" s="9" t="inlineStr">
        <is>
          <t>端数の扱い
(▼で選ぶ)</t>
        </is>
      </c>
      <c r="F5" s="9" t="inlineStr">
        <is>
          <t>振込手数料(円)
振込1回ごと</t>
        </is>
      </c>
      <c r="G5" s="9" t="inlineStr">
        <is>
          <t>メモ</t>
        </is>
      </c>
    </row>
    <row r="6" ht="48" customHeight="1">
      <c r="A6" s="10" t="inlineStr">
        <is>
          <t>ココナラ</t>
        </is>
      </c>
      <c r="B6" s="11" t="n">
        <v>0</v>
      </c>
      <c r="C6" s="11" t="n">
        <v>0.22</v>
      </c>
      <c r="D6" s="12" t="n">
        <v>0</v>
      </c>
      <c r="E6" s="13" t="inlineStr">
        <is>
          <t>切り捨て</t>
        </is>
      </c>
      <c r="F6" s="12" t="n">
        <v>0</v>
      </c>
      <c r="G6" s="14" t="inlineStr">
        <is>
          <t>サービス料22%(税込)。出金(売上を引き出すとき)の手数料は入れていません。</t>
        </is>
      </c>
    </row>
    <row r="7" ht="48" customHeight="1">
      <c r="A7" s="10" t="inlineStr">
        <is>
          <t>BOOTH</t>
        </is>
      </c>
      <c r="B7" s="11" t="n">
        <v>0</v>
      </c>
      <c r="C7" s="11" t="n">
        <v>0.056</v>
      </c>
      <c r="D7" s="12" t="n">
        <v>45</v>
      </c>
      <c r="E7" s="13" t="inlineStr">
        <is>
          <t>切り上げ</t>
        </is>
      </c>
      <c r="F7" s="12" t="n">
        <v>0</v>
      </c>
      <c r="G7" s="14" t="inlineStr">
        <is>
          <t>5.6%+45円(2025年10月28日改定)。公式のお知らせでは円未満は切り上げ。出金の手数料は入れていません。</t>
        </is>
      </c>
    </row>
    <row r="8" ht="48" customHeight="1">
      <c r="A8" s="10" t="inlineStr">
        <is>
          <t>note</t>
        </is>
      </c>
      <c r="B8" s="11" t="n">
        <v>0.05</v>
      </c>
      <c r="C8" s="11" t="n">
        <v>0.1</v>
      </c>
      <c r="D8" s="12" t="n">
        <v>0</v>
      </c>
      <c r="E8" s="13" t="inlineStr">
        <is>
          <t>切り捨て</t>
        </is>
      </c>
      <c r="F8" s="12" t="n">
        <v>270</v>
      </c>
      <c r="G8" s="14" t="inlineStr">
        <is>
          <t>カード払いの例。先に事務手数料(カード5%。キャリア決済は15%など)を引き、残りに利用料10%(定期購読マガジンは20%)。各手数料は円未満切り捨て。振込手数料は振込1回ごとに270円。</t>
        </is>
      </c>
    </row>
    <row r="9" ht="48" customHeight="1">
      <c r="A9" s="10" t="inlineStr">
        <is>
          <t>直接取引</t>
        </is>
      </c>
      <c r="B9" s="11" t="n">
        <v>0</v>
      </c>
      <c r="C9" s="11" t="n">
        <v>0</v>
      </c>
      <c r="D9" s="12" t="n">
        <v>0</v>
      </c>
      <c r="E9" s="13" t="inlineStr">
        <is>
          <t>切り捨て</t>
        </is>
      </c>
      <c r="F9" s="12" t="n">
        <v>0</v>
      </c>
      <c r="G9" s="14" t="inlineStr">
        <is>
          <t>知り合いなどに直接売る場合。手数料0円の設定です。振込の手数料などがかかるなら「経費」に入れます。</t>
        </is>
      </c>
    </row>
    <row r="10" ht="48" customHeight="1">
      <c r="A10" s="10" t="inlineStr">
        <is>
          <t>その他</t>
        </is>
      </c>
      <c r="B10" s="11" t="n">
        <v>0</v>
      </c>
      <c r="C10" s="11" t="n">
        <v>0</v>
      </c>
      <c r="D10" s="12" t="n">
        <v>0</v>
      </c>
      <c r="E10" s="13" t="inlineStr">
        <is>
          <t>切り捨て</t>
        </is>
      </c>
      <c r="F10" s="12" t="n">
        <v>0</v>
      </c>
      <c r="G10" s="14" t="inlineStr">
        <is>
          <t>上にない売り場用。名前と手数料を、公式ページで確かめて自分で入れます。</t>
        </is>
      </c>
    </row>
    <row r="12">
      <c r="A12" s="15" t="inlineStr">
        <is>
          <t>Claude Codeの月額</t>
        </is>
      </c>
    </row>
    <row r="13" ht="32" customHeight="1">
      <c r="A13" s="16" t="inlineStr">
        <is>
          <t>月額(ドル)</t>
        </is>
      </c>
      <c r="B13" s="17" t="n">
        <v>20</v>
      </c>
      <c r="C13" s="8" t="inlineStr">
        <is>
          <t>Proプランの月払いは月$20(2026年10月時点)。年払い・Maxプランなら、その金額に書き換えます。</t>
        </is>
      </c>
    </row>
    <row r="14" ht="32" customHeight="1">
      <c r="A14" s="16" t="inlineStr">
        <is>
          <t>為替レート(1ドル=何円)</t>
        </is>
      </c>
      <c r="B14" s="17" t="n"/>
      <c r="C14" s="8" t="inlineStr">
        <is>
          <t>最初は空です。カードの明細などを見て、自分で入れます(このシートでは数字を決めていません)。</t>
        </is>
      </c>
    </row>
    <row r="15" ht="32" customHeight="1">
      <c r="A15" s="16" t="inlineStr">
        <is>
          <t>月額(円)</t>
        </is>
      </c>
      <c r="B15" s="18">
        <f>IF(OR(B13="",B14=""),"",ROUND(B13*B14,0))</f>
        <v/>
      </c>
      <c r="C15" s="8" t="inlineStr">
        <is>
          <t>自動で計算(為替レートを入れると出ます)</t>
        </is>
      </c>
    </row>
    <row r="17">
      <c r="A17" s="15" t="inlineStr">
        <is>
          <t>所得税の申告の目安</t>
        </is>
      </c>
    </row>
    <row r="18" ht="32" customHeight="1">
      <c r="A18" s="16" t="inlineStr">
        <is>
          <t>年間の目安(円)</t>
        </is>
      </c>
      <c r="B18" s="18" t="n">
        <v>200000</v>
      </c>
      <c r="C18" s="8" t="inlineStr">
        <is>
          <t>給料を1か所からもらい、税金が天引き(源泉徴収)されている人は、</t>
        </is>
      </c>
    </row>
    <row r="19">
      <c r="C19" s="8" t="inlineStr">
        <is>
          <t>給料以外の所得が年20万円を「超える」と、所得税の確定申告が必要な目安です。住民税は別です。</t>
        </is>
      </c>
    </row>
  </sheetData>
  <dataValidations count="1">
    <dataValidation sqref="E6:E10" showDropDown="0" showInputMessage="0" showErrorMessage="0" allowBlank="0" type="list">
      <formula1>"切り捨て,切り上げ"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3" customWidth="1" min="4" max="4"/>
    <col width="12" customWidth="1" min="5" max="5"/>
    <col width="11" customWidth="1" min="6" max="6"/>
    <col width="10" customWidth="1" min="7" max="7"/>
    <col width="12" customWidth="1" min="8" max="8"/>
    <col width="14" customWidth="1" min="9" max="9"/>
    <col width="22" customWidth="1" min="10" max="10"/>
  </cols>
  <sheetData>
    <row r="1" ht="34" customHeight="1">
      <c r="A1" s="9" t="inlineStr">
        <is>
          <t>日付</t>
        </is>
      </c>
      <c r="B1" s="9" t="inlineStr">
        <is>
          <t>売り場
(▼で選ぶ)</t>
        </is>
      </c>
      <c r="C1" s="9" t="inlineStr">
        <is>
          <t>内容</t>
        </is>
      </c>
      <c r="D1" s="9" t="inlineStr">
        <is>
          <t>売上額(円)</t>
        </is>
      </c>
      <c r="E1" s="9" t="inlineStr">
        <is>
          <t>決済手数料
(円)</t>
        </is>
      </c>
      <c r="F1" s="9" t="inlineStr">
        <is>
          <t>利用料
(円)</t>
        </is>
      </c>
      <c r="G1" s="9" t="inlineStr">
        <is>
          <t>固定額
(円)</t>
        </is>
      </c>
      <c r="H1" s="9" t="inlineStr">
        <is>
          <t>手数料合計
(円)</t>
        </is>
      </c>
      <c r="I1" s="9" t="inlineStr">
        <is>
          <t>手取り
(円)</t>
        </is>
      </c>
      <c r="J1" s="9" t="inlineStr">
        <is>
          <t>メモ</t>
        </is>
      </c>
    </row>
    <row r="2">
      <c r="A2" s="19" t="n">
        <v>46124</v>
      </c>
      <c r="B2" s="13" t="inlineStr">
        <is>
          <t>note</t>
        </is>
      </c>
      <c r="C2" s="20" t="inlineStr">
        <is>
          <t>有料記事を1本(サンプル)</t>
        </is>
      </c>
      <c r="D2" s="21" t="n">
        <v>1000</v>
      </c>
      <c r="E2" s="18">
        <f>IF(OR($B2="",$D2=""),"",IFERROR(IF(VLOOKUP($B2,設定!$A$6:$G$10,5,FALSE)="切り上げ",ROUNDUP(ROUND($D2*VLOOKUP($B2,設定!$A$6:$G$10,2,FALSE),6),0),ROUNDDOWN(ROUND($D2*VLOOKUP($B2,設定!$A$6:$G$10,2,FALSE),6),0)),"売り場名?"))</f>
        <v/>
      </c>
      <c r="F2" s="18">
        <f>IF(ISNUMBER($E2),IF(VLOOKUP($B2,設定!$A$6:$G$10,5,FALSE)="切り上げ",ROUNDUP(ROUND(($D2-$E2)*VLOOKUP($B2,設定!$A$6:$G$10,3,FALSE),6),0),ROUNDDOWN(ROUND(($D2-$E2)*VLOOKUP($B2,設定!$A$6:$G$10,3,FALSE),6),0)),"")</f>
        <v/>
      </c>
      <c r="G2" s="18">
        <f>IF(ISNUMBER($E2),VLOOKUP($B2,設定!$A$6:$G$10,4,FALSE),"")</f>
        <v/>
      </c>
      <c r="H2" s="18">
        <f>IF(ISNUMBER($E2),$E2+$F2+$G2,"")</f>
        <v/>
      </c>
      <c r="I2" s="22">
        <f>IF(ISNUMBER($H2),$D2-$H2,IF(AND($D2&lt;&gt;"",$B2=""),"←売り場を選ぶ",""))</f>
        <v/>
      </c>
      <c r="J2" s="20" t="n"/>
    </row>
    <row r="3">
      <c r="A3" s="19" t="n">
        <v>46145</v>
      </c>
      <c r="B3" s="13" t="inlineStr">
        <is>
          <t>BOOTH</t>
        </is>
      </c>
      <c r="C3" s="20" t="inlineStr">
        <is>
          <t>管理表のひな形(サンプル)</t>
        </is>
      </c>
      <c r="D3" s="21" t="n">
        <v>1000</v>
      </c>
      <c r="E3" s="18">
        <f>IF(OR($B3="",$D3=""),"",IFERROR(IF(VLOOKUP($B3,設定!$A$6:$G$10,5,FALSE)="切り上げ",ROUNDUP(ROUND($D3*VLOOKUP($B3,設定!$A$6:$G$10,2,FALSE),6),0),ROUNDDOWN(ROUND($D3*VLOOKUP($B3,設定!$A$6:$G$10,2,FALSE),6),0)),"売り場名?"))</f>
        <v/>
      </c>
      <c r="F3" s="18">
        <f>IF(ISNUMBER($E3),IF(VLOOKUP($B3,設定!$A$6:$G$10,5,FALSE)="切り上げ",ROUNDUP(ROUND(($D3-$E3)*VLOOKUP($B3,設定!$A$6:$G$10,3,FALSE),6),0),ROUNDDOWN(ROUND(($D3-$E3)*VLOOKUP($B3,設定!$A$6:$G$10,3,FALSE),6),0)),"")</f>
        <v/>
      </c>
      <c r="G3" s="18">
        <f>IF(ISNUMBER($E3),VLOOKUP($B3,設定!$A$6:$G$10,4,FALSE),"")</f>
        <v/>
      </c>
      <c r="H3" s="18">
        <f>IF(ISNUMBER($E3),$E3+$F3+$G3,"")</f>
        <v/>
      </c>
      <c r="I3" s="22">
        <f>IF(ISNUMBER($H3),$D3-$H3,IF(AND($D3&lt;&gt;"",$B3=""),"←売り場を選ぶ",""))</f>
        <v/>
      </c>
      <c r="J3" s="20" t="n"/>
    </row>
    <row r="4">
      <c r="A4" s="19" t="n">
        <v>46193</v>
      </c>
      <c r="B4" s="13" t="inlineStr">
        <is>
          <t>ココナラ</t>
        </is>
      </c>
      <c r="C4" s="20" t="inlineStr">
        <is>
          <t>かんたんな集計シート作り(サンプル)</t>
        </is>
      </c>
      <c r="D4" s="21" t="n">
        <v>3000</v>
      </c>
      <c r="E4" s="18">
        <f>IF(OR($B4="",$D4=""),"",IFERROR(IF(VLOOKUP($B4,設定!$A$6:$G$10,5,FALSE)="切り上げ",ROUNDUP(ROUND($D4*VLOOKUP($B4,設定!$A$6:$G$10,2,FALSE),6),0),ROUNDDOWN(ROUND($D4*VLOOKUP($B4,設定!$A$6:$G$10,2,FALSE),6),0)),"売り場名?"))</f>
        <v/>
      </c>
      <c r="F4" s="18">
        <f>IF(ISNUMBER($E4),IF(VLOOKUP($B4,設定!$A$6:$G$10,5,FALSE)="切り上げ",ROUNDUP(ROUND(($D4-$E4)*VLOOKUP($B4,設定!$A$6:$G$10,3,FALSE),6),0),ROUNDDOWN(ROUND(($D4-$E4)*VLOOKUP($B4,設定!$A$6:$G$10,3,FALSE),6),0)),"")</f>
        <v/>
      </c>
      <c r="G4" s="18">
        <f>IF(ISNUMBER($E4),VLOOKUP($B4,設定!$A$6:$G$10,4,FALSE),"")</f>
        <v/>
      </c>
      <c r="H4" s="18">
        <f>IF(ISNUMBER($E4),$E4+$F4+$G4,"")</f>
        <v/>
      </c>
      <c r="I4" s="22">
        <f>IF(ISNUMBER($H4),$D4-$H4,IF(AND($D4&lt;&gt;"",$B4=""),"←売り場を選ぶ",""))</f>
        <v/>
      </c>
      <c r="J4" s="20" t="n"/>
    </row>
    <row r="5">
      <c r="A5" s="19" t="n">
        <v>46218</v>
      </c>
      <c r="B5" s="13" t="inlineStr">
        <is>
          <t>直接取引</t>
        </is>
      </c>
      <c r="C5" s="20" t="inlineStr">
        <is>
          <t>知り合いのお店の表(サンプル)</t>
        </is>
      </c>
      <c r="D5" s="21" t="n">
        <v>5000</v>
      </c>
      <c r="E5" s="18">
        <f>IF(OR($B5="",$D5=""),"",IFERROR(IF(VLOOKUP($B5,設定!$A$6:$G$10,5,FALSE)="切り上げ",ROUNDUP(ROUND($D5*VLOOKUP($B5,設定!$A$6:$G$10,2,FALSE),6),0),ROUNDDOWN(ROUND($D5*VLOOKUP($B5,設定!$A$6:$G$10,2,FALSE),6),0)),"売り場名?"))</f>
        <v/>
      </c>
      <c r="F5" s="18">
        <f>IF(ISNUMBER($E5),IF(VLOOKUP($B5,設定!$A$6:$G$10,5,FALSE)="切り上げ",ROUNDUP(ROUND(($D5-$E5)*VLOOKUP($B5,設定!$A$6:$G$10,3,FALSE),6),0),ROUNDDOWN(ROUND(($D5-$E5)*VLOOKUP($B5,設定!$A$6:$G$10,3,FALSE),6),0)),"")</f>
        <v/>
      </c>
      <c r="G5" s="18">
        <f>IF(ISNUMBER($E5),VLOOKUP($B5,設定!$A$6:$G$10,4,FALSE),"")</f>
        <v/>
      </c>
      <c r="H5" s="18">
        <f>IF(ISNUMBER($E5),$E5+$F5+$G5,"")</f>
        <v/>
      </c>
      <c r="I5" s="22">
        <f>IF(ISNUMBER($H5),$D5-$H5,IF(AND($D5&lt;&gt;"",$B5=""),"←売り場を選ぶ",""))</f>
        <v/>
      </c>
      <c r="J5" s="20" t="n"/>
    </row>
    <row r="6">
      <c r="A6" s="19" t="n">
        <v>46243</v>
      </c>
      <c r="B6" s="13" t="inlineStr">
        <is>
          <t>BOOTH</t>
        </is>
      </c>
      <c r="C6" s="20" t="inlineStr">
        <is>
          <t>管理表のひな形・改良版(サンプル)</t>
        </is>
      </c>
      <c r="D6" s="21" t="n">
        <v>1234</v>
      </c>
      <c r="E6" s="18">
        <f>IF(OR($B6="",$D6=""),"",IFERROR(IF(VLOOKUP($B6,設定!$A$6:$G$10,5,FALSE)="切り上げ",ROUNDUP(ROUND($D6*VLOOKUP($B6,設定!$A$6:$G$10,2,FALSE),6),0),ROUNDDOWN(ROUND($D6*VLOOKUP($B6,設定!$A$6:$G$10,2,FALSE),6),0)),"売り場名?"))</f>
        <v/>
      </c>
      <c r="F6" s="18">
        <f>IF(ISNUMBER($E6),IF(VLOOKUP($B6,設定!$A$6:$G$10,5,FALSE)="切り上げ",ROUNDUP(ROUND(($D6-$E6)*VLOOKUP($B6,設定!$A$6:$G$10,3,FALSE),6),0),ROUNDDOWN(ROUND(($D6-$E6)*VLOOKUP($B6,設定!$A$6:$G$10,3,FALSE),6),0)),"")</f>
        <v/>
      </c>
      <c r="G6" s="18">
        <f>IF(ISNUMBER($E6),VLOOKUP($B6,設定!$A$6:$G$10,4,FALSE),"")</f>
        <v/>
      </c>
      <c r="H6" s="18">
        <f>IF(ISNUMBER($E6),$E6+$F6+$G6,"")</f>
        <v/>
      </c>
      <c r="I6" s="22">
        <f>IF(ISNUMBER($H6),$D6-$H6,IF(AND($D6&lt;&gt;"",$B6=""),"←売り場を選ぶ",""))</f>
        <v/>
      </c>
      <c r="J6" s="20" t="n"/>
    </row>
    <row r="7">
      <c r="A7" s="19" t="n">
        <v>46287</v>
      </c>
      <c r="B7" s="13" t="inlineStr">
        <is>
          <t>ココナラ</t>
        </is>
      </c>
      <c r="C7" s="20" t="inlineStr">
        <is>
          <t>集計シート作り(サンプル)</t>
        </is>
      </c>
      <c r="D7" s="21" t="n">
        <v>3000</v>
      </c>
      <c r="E7" s="18">
        <f>IF(OR($B7="",$D7=""),"",IFERROR(IF(VLOOKUP($B7,設定!$A$6:$G$10,5,FALSE)="切り上げ",ROUNDUP(ROUND($D7*VLOOKUP($B7,設定!$A$6:$G$10,2,FALSE),6),0),ROUNDDOWN(ROUND($D7*VLOOKUP($B7,設定!$A$6:$G$10,2,FALSE),6),0)),"売り場名?"))</f>
        <v/>
      </c>
      <c r="F7" s="18">
        <f>IF(ISNUMBER($E7),IF(VLOOKUP($B7,設定!$A$6:$G$10,5,FALSE)="切り上げ",ROUNDUP(ROUND(($D7-$E7)*VLOOKUP($B7,設定!$A$6:$G$10,3,FALSE),6),0),ROUNDDOWN(ROUND(($D7-$E7)*VLOOKUP($B7,設定!$A$6:$G$10,3,FALSE),6),0)),"")</f>
        <v/>
      </c>
      <c r="G7" s="18">
        <f>IF(ISNUMBER($E7),VLOOKUP($B7,設定!$A$6:$G$10,4,FALSE),"")</f>
        <v/>
      </c>
      <c r="H7" s="18">
        <f>IF(ISNUMBER($E7),$E7+$F7+$G7,"")</f>
        <v/>
      </c>
      <c r="I7" s="22">
        <f>IF(ISNUMBER($H7),$D7-$H7,IF(AND($D7&lt;&gt;"",$B7=""),"←売り場を選ぶ",""))</f>
        <v/>
      </c>
      <c r="J7" s="20" t="n"/>
    </row>
    <row r="8">
      <c r="A8" s="19" t="n"/>
      <c r="B8" s="13" t="n"/>
      <c r="C8" s="20" t="n"/>
      <c r="D8" s="21" t="n"/>
      <c r="E8" s="18">
        <f>IF(OR($B8="",$D8=""),"",IFERROR(IF(VLOOKUP($B8,設定!$A$6:$G$10,5,FALSE)="切り上げ",ROUNDUP(ROUND($D8*VLOOKUP($B8,設定!$A$6:$G$10,2,FALSE),6),0),ROUNDDOWN(ROUND($D8*VLOOKUP($B8,設定!$A$6:$G$10,2,FALSE),6),0)),"売り場名?"))</f>
        <v/>
      </c>
      <c r="F8" s="18">
        <f>IF(ISNUMBER($E8),IF(VLOOKUP($B8,設定!$A$6:$G$10,5,FALSE)="切り上げ",ROUNDUP(ROUND(($D8-$E8)*VLOOKUP($B8,設定!$A$6:$G$10,3,FALSE),6),0),ROUNDDOWN(ROUND(($D8-$E8)*VLOOKUP($B8,設定!$A$6:$G$10,3,FALSE),6),0)),"")</f>
        <v/>
      </c>
      <c r="G8" s="18">
        <f>IF(ISNUMBER($E8),VLOOKUP($B8,設定!$A$6:$G$10,4,FALSE),"")</f>
        <v/>
      </c>
      <c r="H8" s="18">
        <f>IF(ISNUMBER($E8),$E8+$F8+$G8,"")</f>
        <v/>
      </c>
      <c r="I8" s="22">
        <f>IF(ISNUMBER($H8),$D8-$H8,IF(AND($D8&lt;&gt;"",$B8=""),"←売り場を選ぶ",""))</f>
        <v/>
      </c>
      <c r="J8" s="20" t="n"/>
    </row>
    <row r="9">
      <c r="A9" s="19" t="n"/>
      <c r="B9" s="13" t="n"/>
      <c r="C9" s="20" t="n"/>
      <c r="D9" s="21" t="n"/>
      <c r="E9" s="18">
        <f>IF(OR($B9="",$D9=""),"",IFERROR(IF(VLOOKUP($B9,設定!$A$6:$G$10,5,FALSE)="切り上げ",ROUNDUP(ROUND($D9*VLOOKUP($B9,設定!$A$6:$G$10,2,FALSE),6),0),ROUNDDOWN(ROUND($D9*VLOOKUP($B9,設定!$A$6:$G$10,2,FALSE),6),0)),"売り場名?"))</f>
        <v/>
      </c>
      <c r="F9" s="18">
        <f>IF(ISNUMBER($E9),IF(VLOOKUP($B9,設定!$A$6:$G$10,5,FALSE)="切り上げ",ROUNDUP(ROUND(($D9-$E9)*VLOOKUP($B9,設定!$A$6:$G$10,3,FALSE),6),0),ROUNDDOWN(ROUND(($D9-$E9)*VLOOKUP($B9,設定!$A$6:$G$10,3,FALSE),6),0)),"")</f>
        <v/>
      </c>
      <c r="G9" s="18">
        <f>IF(ISNUMBER($E9),VLOOKUP($B9,設定!$A$6:$G$10,4,FALSE),"")</f>
        <v/>
      </c>
      <c r="H9" s="18">
        <f>IF(ISNUMBER($E9),$E9+$F9+$G9,"")</f>
        <v/>
      </c>
      <c r="I9" s="22">
        <f>IF(ISNUMBER($H9),$D9-$H9,IF(AND($D9&lt;&gt;"",$B9=""),"←売り場を選ぶ",""))</f>
        <v/>
      </c>
      <c r="J9" s="20" t="n"/>
    </row>
    <row r="10">
      <c r="A10" s="19" t="n"/>
      <c r="B10" s="13" t="n"/>
      <c r="C10" s="20" t="n"/>
      <c r="D10" s="21" t="n"/>
      <c r="E10" s="18">
        <f>IF(OR($B10="",$D10=""),"",IFERROR(IF(VLOOKUP($B10,設定!$A$6:$G$10,5,FALSE)="切り上げ",ROUNDUP(ROUND($D10*VLOOKUP($B10,設定!$A$6:$G$10,2,FALSE),6),0),ROUNDDOWN(ROUND($D10*VLOOKUP($B10,設定!$A$6:$G$10,2,FALSE),6),0)),"売り場名?"))</f>
        <v/>
      </c>
      <c r="F10" s="18">
        <f>IF(ISNUMBER($E10),IF(VLOOKUP($B10,設定!$A$6:$G$10,5,FALSE)="切り上げ",ROUNDUP(ROUND(($D10-$E10)*VLOOKUP($B10,設定!$A$6:$G$10,3,FALSE),6),0),ROUNDDOWN(ROUND(($D10-$E10)*VLOOKUP($B10,設定!$A$6:$G$10,3,FALSE),6),0)),"")</f>
        <v/>
      </c>
      <c r="G10" s="18">
        <f>IF(ISNUMBER($E10),VLOOKUP($B10,設定!$A$6:$G$10,4,FALSE),"")</f>
        <v/>
      </c>
      <c r="H10" s="18">
        <f>IF(ISNUMBER($E10),$E10+$F10+$G10,"")</f>
        <v/>
      </c>
      <c r="I10" s="22">
        <f>IF(ISNUMBER($H10),$D10-$H10,IF(AND($D10&lt;&gt;"",$B10=""),"←売り場を選ぶ",""))</f>
        <v/>
      </c>
      <c r="J10" s="20" t="n"/>
    </row>
    <row r="11">
      <c r="A11" s="19" t="n"/>
      <c r="B11" s="13" t="n"/>
      <c r="C11" s="20" t="n"/>
      <c r="D11" s="21" t="n"/>
      <c r="E11" s="18">
        <f>IF(OR($B11="",$D11=""),"",IFERROR(IF(VLOOKUP($B11,設定!$A$6:$G$10,5,FALSE)="切り上げ",ROUNDUP(ROUND($D11*VLOOKUP($B11,設定!$A$6:$G$10,2,FALSE),6),0),ROUNDDOWN(ROUND($D11*VLOOKUP($B11,設定!$A$6:$G$10,2,FALSE),6),0)),"売り場名?"))</f>
        <v/>
      </c>
      <c r="F11" s="18">
        <f>IF(ISNUMBER($E11),IF(VLOOKUP($B11,設定!$A$6:$G$10,5,FALSE)="切り上げ",ROUNDUP(ROUND(($D11-$E11)*VLOOKUP($B11,設定!$A$6:$G$10,3,FALSE),6),0),ROUNDDOWN(ROUND(($D11-$E11)*VLOOKUP($B11,設定!$A$6:$G$10,3,FALSE),6),0)),"")</f>
        <v/>
      </c>
      <c r="G11" s="18">
        <f>IF(ISNUMBER($E11),VLOOKUP($B11,設定!$A$6:$G$10,4,FALSE),"")</f>
        <v/>
      </c>
      <c r="H11" s="18">
        <f>IF(ISNUMBER($E11),$E11+$F11+$G11,"")</f>
        <v/>
      </c>
      <c r="I11" s="22">
        <f>IF(ISNUMBER($H11),$D11-$H11,IF(AND($D11&lt;&gt;"",$B11=""),"←売り場を選ぶ",""))</f>
        <v/>
      </c>
      <c r="J11" s="20" t="n"/>
    </row>
    <row r="12">
      <c r="A12" s="19" t="n"/>
      <c r="B12" s="13" t="n"/>
      <c r="C12" s="20" t="n"/>
      <c r="D12" s="21" t="n"/>
      <c r="E12" s="18">
        <f>IF(OR($B12="",$D12=""),"",IFERROR(IF(VLOOKUP($B12,設定!$A$6:$G$10,5,FALSE)="切り上げ",ROUNDUP(ROUND($D12*VLOOKUP($B12,設定!$A$6:$G$10,2,FALSE),6),0),ROUNDDOWN(ROUND($D12*VLOOKUP($B12,設定!$A$6:$G$10,2,FALSE),6),0)),"売り場名?"))</f>
        <v/>
      </c>
      <c r="F12" s="18">
        <f>IF(ISNUMBER($E12),IF(VLOOKUP($B12,設定!$A$6:$G$10,5,FALSE)="切り上げ",ROUNDUP(ROUND(($D12-$E12)*VLOOKUP($B12,設定!$A$6:$G$10,3,FALSE),6),0),ROUNDDOWN(ROUND(($D12-$E12)*VLOOKUP($B12,設定!$A$6:$G$10,3,FALSE),6),0)),"")</f>
        <v/>
      </c>
      <c r="G12" s="18">
        <f>IF(ISNUMBER($E12),VLOOKUP($B12,設定!$A$6:$G$10,4,FALSE),"")</f>
        <v/>
      </c>
      <c r="H12" s="18">
        <f>IF(ISNUMBER($E12),$E12+$F12+$G12,"")</f>
        <v/>
      </c>
      <c r="I12" s="22">
        <f>IF(ISNUMBER($H12),$D12-$H12,IF(AND($D12&lt;&gt;"",$B12=""),"←売り場を選ぶ",""))</f>
        <v/>
      </c>
      <c r="J12" s="20" t="n"/>
    </row>
    <row r="13">
      <c r="A13" s="19" t="n"/>
      <c r="B13" s="13" t="n"/>
      <c r="C13" s="20" t="n"/>
      <c r="D13" s="21" t="n"/>
      <c r="E13" s="18">
        <f>IF(OR($B13="",$D13=""),"",IFERROR(IF(VLOOKUP($B13,設定!$A$6:$G$10,5,FALSE)="切り上げ",ROUNDUP(ROUND($D13*VLOOKUP($B13,設定!$A$6:$G$10,2,FALSE),6),0),ROUNDDOWN(ROUND($D13*VLOOKUP($B13,設定!$A$6:$G$10,2,FALSE),6),0)),"売り場名?"))</f>
        <v/>
      </c>
      <c r="F13" s="18">
        <f>IF(ISNUMBER($E13),IF(VLOOKUP($B13,設定!$A$6:$G$10,5,FALSE)="切り上げ",ROUNDUP(ROUND(($D13-$E13)*VLOOKUP($B13,設定!$A$6:$G$10,3,FALSE),6),0),ROUNDDOWN(ROUND(($D13-$E13)*VLOOKUP($B13,設定!$A$6:$G$10,3,FALSE),6),0)),"")</f>
        <v/>
      </c>
      <c r="G13" s="18">
        <f>IF(ISNUMBER($E13),VLOOKUP($B13,設定!$A$6:$G$10,4,FALSE),"")</f>
        <v/>
      </c>
      <c r="H13" s="18">
        <f>IF(ISNUMBER($E13),$E13+$F13+$G13,"")</f>
        <v/>
      </c>
      <c r="I13" s="22">
        <f>IF(ISNUMBER($H13),$D13-$H13,IF(AND($D13&lt;&gt;"",$B13=""),"←売り場を選ぶ",""))</f>
        <v/>
      </c>
      <c r="J13" s="20" t="n"/>
    </row>
    <row r="14">
      <c r="A14" s="19" t="n"/>
      <c r="B14" s="13" t="n"/>
      <c r="C14" s="20" t="n"/>
      <c r="D14" s="21" t="n"/>
      <c r="E14" s="18">
        <f>IF(OR($B14="",$D14=""),"",IFERROR(IF(VLOOKUP($B14,設定!$A$6:$G$10,5,FALSE)="切り上げ",ROUNDUP(ROUND($D14*VLOOKUP($B14,設定!$A$6:$G$10,2,FALSE),6),0),ROUNDDOWN(ROUND($D14*VLOOKUP($B14,設定!$A$6:$G$10,2,FALSE),6),0)),"売り場名?"))</f>
        <v/>
      </c>
      <c r="F14" s="18">
        <f>IF(ISNUMBER($E14),IF(VLOOKUP($B14,設定!$A$6:$G$10,5,FALSE)="切り上げ",ROUNDUP(ROUND(($D14-$E14)*VLOOKUP($B14,設定!$A$6:$G$10,3,FALSE),6),0),ROUNDDOWN(ROUND(($D14-$E14)*VLOOKUP($B14,設定!$A$6:$G$10,3,FALSE),6),0)),"")</f>
        <v/>
      </c>
      <c r="G14" s="18">
        <f>IF(ISNUMBER($E14),VLOOKUP($B14,設定!$A$6:$G$10,4,FALSE),"")</f>
        <v/>
      </c>
      <c r="H14" s="18">
        <f>IF(ISNUMBER($E14),$E14+$F14+$G14,"")</f>
        <v/>
      </c>
      <c r="I14" s="22">
        <f>IF(ISNUMBER($H14),$D14-$H14,IF(AND($D14&lt;&gt;"",$B14=""),"←売り場を選ぶ",""))</f>
        <v/>
      </c>
      <c r="J14" s="20" t="n"/>
    </row>
    <row r="15">
      <c r="A15" s="19" t="n"/>
      <c r="B15" s="13" t="n"/>
      <c r="C15" s="20" t="n"/>
      <c r="D15" s="21" t="n"/>
      <c r="E15" s="18">
        <f>IF(OR($B15="",$D15=""),"",IFERROR(IF(VLOOKUP($B15,設定!$A$6:$G$10,5,FALSE)="切り上げ",ROUNDUP(ROUND($D15*VLOOKUP($B15,設定!$A$6:$G$10,2,FALSE),6),0),ROUNDDOWN(ROUND($D15*VLOOKUP($B15,設定!$A$6:$G$10,2,FALSE),6),0)),"売り場名?"))</f>
        <v/>
      </c>
      <c r="F15" s="18">
        <f>IF(ISNUMBER($E15),IF(VLOOKUP($B15,設定!$A$6:$G$10,5,FALSE)="切り上げ",ROUNDUP(ROUND(($D15-$E15)*VLOOKUP($B15,設定!$A$6:$G$10,3,FALSE),6),0),ROUNDDOWN(ROUND(($D15-$E15)*VLOOKUP($B15,設定!$A$6:$G$10,3,FALSE),6),0)),"")</f>
        <v/>
      </c>
      <c r="G15" s="18">
        <f>IF(ISNUMBER($E15),VLOOKUP($B15,設定!$A$6:$G$10,4,FALSE),"")</f>
        <v/>
      </c>
      <c r="H15" s="18">
        <f>IF(ISNUMBER($E15),$E15+$F15+$G15,"")</f>
        <v/>
      </c>
      <c r="I15" s="22">
        <f>IF(ISNUMBER($H15),$D15-$H15,IF(AND($D15&lt;&gt;"",$B15=""),"←売り場を選ぶ",""))</f>
        <v/>
      </c>
      <c r="J15" s="20" t="n"/>
    </row>
    <row r="16">
      <c r="A16" s="19" t="n"/>
      <c r="B16" s="13" t="n"/>
      <c r="C16" s="20" t="n"/>
      <c r="D16" s="21" t="n"/>
      <c r="E16" s="18">
        <f>IF(OR($B16="",$D16=""),"",IFERROR(IF(VLOOKUP($B16,設定!$A$6:$G$10,5,FALSE)="切り上げ",ROUNDUP(ROUND($D16*VLOOKUP($B16,設定!$A$6:$G$10,2,FALSE),6),0),ROUNDDOWN(ROUND($D16*VLOOKUP($B16,設定!$A$6:$G$10,2,FALSE),6),0)),"売り場名?"))</f>
        <v/>
      </c>
      <c r="F16" s="18">
        <f>IF(ISNUMBER($E16),IF(VLOOKUP($B16,設定!$A$6:$G$10,5,FALSE)="切り上げ",ROUNDUP(ROUND(($D16-$E16)*VLOOKUP($B16,設定!$A$6:$G$10,3,FALSE),6),0),ROUNDDOWN(ROUND(($D16-$E16)*VLOOKUP($B16,設定!$A$6:$G$10,3,FALSE),6),0)),"")</f>
        <v/>
      </c>
      <c r="G16" s="18">
        <f>IF(ISNUMBER($E16),VLOOKUP($B16,設定!$A$6:$G$10,4,FALSE),"")</f>
        <v/>
      </c>
      <c r="H16" s="18">
        <f>IF(ISNUMBER($E16),$E16+$F16+$G16,"")</f>
        <v/>
      </c>
      <c r="I16" s="22">
        <f>IF(ISNUMBER($H16),$D16-$H16,IF(AND($D16&lt;&gt;"",$B16=""),"←売り場を選ぶ",""))</f>
        <v/>
      </c>
      <c r="J16" s="20" t="n"/>
    </row>
    <row r="17">
      <c r="A17" s="19" t="n"/>
      <c r="B17" s="13" t="n"/>
      <c r="C17" s="20" t="n"/>
      <c r="D17" s="21" t="n"/>
      <c r="E17" s="18">
        <f>IF(OR($B17="",$D17=""),"",IFERROR(IF(VLOOKUP($B17,設定!$A$6:$G$10,5,FALSE)="切り上げ",ROUNDUP(ROUND($D17*VLOOKUP($B17,設定!$A$6:$G$10,2,FALSE),6),0),ROUNDDOWN(ROUND($D17*VLOOKUP($B17,設定!$A$6:$G$10,2,FALSE),6),0)),"売り場名?"))</f>
        <v/>
      </c>
      <c r="F17" s="18">
        <f>IF(ISNUMBER($E17),IF(VLOOKUP($B17,設定!$A$6:$G$10,5,FALSE)="切り上げ",ROUNDUP(ROUND(($D17-$E17)*VLOOKUP($B17,設定!$A$6:$G$10,3,FALSE),6),0),ROUNDDOWN(ROUND(($D17-$E17)*VLOOKUP($B17,設定!$A$6:$G$10,3,FALSE),6),0)),"")</f>
        <v/>
      </c>
      <c r="G17" s="18">
        <f>IF(ISNUMBER($E17),VLOOKUP($B17,設定!$A$6:$G$10,4,FALSE),"")</f>
        <v/>
      </c>
      <c r="H17" s="18">
        <f>IF(ISNUMBER($E17),$E17+$F17+$G17,"")</f>
        <v/>
      </c>
      <c r="I17" s="22">
        <f>IF(ISNUMBER($H17),$D17-$H17,IF(AND($D17&lt;&gt;"",$B17=""),"←売り場を選ぶ",""))</f>
        <v/>
      </c>
      <c r="J17" s="20" t="n"/>
    </row>
    <row r="18">
      <c r="A18" s="19" t="n"/>
      <c r="B18" s="13" t="n"/>
      <c r="C18" s="20" t="n"/>
      <c r="D18" s="21" t="n"/>
      <c r="E18" s="18">
        <f>IF(OR($B18="",$D18=""),"",IFERROR(IF(VLOOKUP($B18,設定!$A$6:$G$10,5,FALSE)="切り上げ",ROUNDUP(ROUND($D18*VLOOKUP($B18,設定!$A$6:$G$10,2,FALSE),6),0),ROUNDDOWN(ROUND($D18*VLOOKUP($B18,設定!$A$6:$G$10,2,FALSE),6),0)),"売り場名?"))</f>
        <v/>
      </c>
      <c r="F18" s="18">
        <f>IF(ISNUMBER($E18),IF(VLOOKUP($B18,設定!$A$6:$G$10,5,FALSE)="切り上げ",ROUNDUP(ROUND(($D18-$E18)*VLOOKUP($B18,設定!$A$6:$G$10,3,FALSE),6),0),ROUNDDOWN(ROUND(($D18-$E18)*VLOOKUP($B18,設定!$A$6:$G$10,3,FALSE),6),0)),"")</f>
        <v/>
      </c>
      <c r="G18" s="18">
        <f>IF(ISNUMBER($E18),VLOOKUP($B18,設定!$A$6:$G$10,4,FALSE),"")</f>
        <v/>
      </c>
      <c r="H18" s="18">
        <f>IF(ISNUMBER($E18),$E18+$F18+$G18,"")</f>
        <v/>
      </c>
      <c r="I18" s="22">
        <f>IF(ISNUMBER($H18),$D18-$H18,IF(AND($D18&lt;&gt;"",$B18=""),"←売り場を選ぶ",""))</f>
        <v/>
      </c>
      <c r="J18" s="20" t="n"/>
    </row>
    <row r="19">
      <c r="A19" s="19" t="n"/>
      <c r="B19" s="13" t="n"/>
      <c r="C19" s="20" t="n"/>
      <c r="D19" s="21" t="n"/>
      <c r="E19" s="18">
        <f>IF(OR($B19="",$D19=""),"",IFERROR(IF(VLOOKUP($B19,設定!$A$6:$G$10,5,FALSE)="切り上げ",ROUNDUP(ROUND($D19*VLOOKUP($B19,設定!$A$6:$G$10,2,FALSE),6),0),ROUNDDOWN(ROUND($D19*VLOOKUP($B19,設定!$A$6:$G$10,2,FALSE),6),0)),"売り場名?"))</f>
        <v/>
      </c>
      <c r="F19" s="18">
        <f>IF(ISNUMBER($E19),IF(VLOOKUP($B19,設定!$A$6:$G$10,5,FALSE)="切り上げ",ROUNDUP(ROUND(($D19-$E19)*VLOOKUP($B19,設定!$A$6:$G$10,3,FALSE),6),0),ROUNDDOWN(ROUND(($D19-$E19)*VLOOKUP($B19,設定!$A$6:$G$10,3,FALSE),6),0)),"")</f>
        <v/>
      </c>
      <c r="G19" s="18">
        <f>IF(ISNUMBER($E19),VLOOKUP($B19,設定!$A$6:$G$10,4,FALSE),"")</f>
        <v/>
      </c>
      <c r="H19" s="18">
        <f>IF(ISNUMBER($E19),$E19+$F19+$G19,"")</f>
        <v/>
      </c>
      <c r="I19" s="22">
        <f>IF(ISNUMBER($H19),$D19-$H19,IF(AND($D19&lt;&gt;"",$B19=""),"←売り場を選ぶ",""))</f>
        <v/>
      </c>
      <c r="J19" s="20" t="n"/>
    </row>
    <row r="20">
      <c r="A20" s="19" t="n"/>
      <c r="B20" s="13" t="n"/>
      <c r="C20" s="20" t="n"/>
      <c r="D20" s="21" t="n"/>
      <c r="E20" s="18">
        <f>IF(OR($B20="",$D20=""),"",IFERROR(IF(VLOOKUP($B20,設定!$A$6:$G$10,5,FALSE)="切り上げ",ROUNDUP(ROUND($D20*VLOOKUP($B20,設定!$A$6:$G$10,2,FALSE),6),0),ROUNDDOWN(ROUND($D20*VLOOKUP($B20,設定!$A$6:$G$10,2,FALSE),6),0)),"売り場名?"))</f>
        <v/>
      </c>
      <c r="F20" s="18">
        <f>IF(ISNUMBER($E20),IF(VLOOKUP($B20,設定!$A$6:$G$10,5,FALSE)="切り上げ",ROUNDUP(ROUND(($D20-$E20)*VLOOKUP($B20,設定!$A$6:$G$10,3,FALSE),6),0),ROUNDDOWN(ROUND(($D20-$E20)*VLOOKUP($B20,設定!$A$6:$G$10,3,FALSE),6),0)),"")</f>
        <v/>
      </c>
      <c r="G20" s="18">
        <f>IF(ISNUMBER($E20),VLOOKUP($B20,設定!$A$6:$G$10,4,FALSE),"")</f>
        <v/>
      </c>
      <c r="H20" s="18">
        <f>IF(ISNUMBER($E20),$E20+$F20+$G20,"")</f>
        <v/>
      </c>
      <c r="I20" s="22">
        <f>IF(ISNUMBER($H20),$D20-$H20,IF(AND($D20&lt;&gt;"",$B20=""),"←売り場を選ぶ",""))</f>
        <v/>
      </c>
      <c r="J20" s="20" t="n"/>
    </row>
    <row r="21">
      <c r="A21" s="19" t="n"/>
      <c r="B21" s="13" t="n"/>
      <c r="C21" s="20" t="n"/>
      <c r="D21" s="21" t="n"/>
      <c r="E21" s="18">
        <f>IF(OR($B21="",$D21=""),"",IFERROR(IF(VLOOKUP($B21,設定!$A$6:$G$10,5,FALSE)="切り上げ",ROUNDUP(ROUND($D21*VLOOKUP($B21,設定!$A$6:$G$10,2,FALSE),6),0),ROUNDDOWN(ROUND($D21*VLOOKUP($B21,設定!$A$6:$G$10,2,FALSE),6),0)),"売り場名?"))</f>
        <v/>
      </c>
      <c r="F21" s="18">
        <f>IF(ISNUMBER($E21),IF(VLOOKUP($B21,設定!$A$6:$G$10,5,FALSE)="切り上げ",ROUNDUP(ROUND(($D21-$E21)*VLOOKUP($B21,設定!$A$6:$G$10,3,FALSE),6),0),ROUNDDOWN(ROUND(($D21-$E21)*VLOOKUP($B21,設定!$A$6:$G$10,3,FALSE),6),0)),"")</f>
        <v/>
      </c>
      <c r="G21" s="18">
        <f>IF(ISNUMBER($E21),VLOOKUP($B21,設定!$A$6:$G$10,4,FALSE),"")</f>
        <v/>
      </c>
      <c r="H21" s="18">
        <f>IF(ISNUMBER($E21),$E21+$F21+$G21,"")</f>
        <v/>
      </c>
      <c r="I21" s="22">
        <f>IF(ISNUMBER($H21),$D21-$H21,IF(AND($D21&lt;&gt;"",$B21=""),"←売り場を選ぶ",""))</f>
        <v/>
      </c>
      <c r="J21" s="20" t="n"/>
    </row>
    <row r="22">
      <c r="A22" s="19" t="n"/>
      <c r="B22" s="13" t="n"/>
      <c r="C22" s="20" t="n"/>
      <c r="D22" s="21" t="n"/>
      <c r="E22" s="18">
        <f>IF(OR($B22="",$D22=""),"",IFERROR(IF(VLOOKUP($B22,設定!$A$6:$G$10,5,FALSE)="切り上げ",ROUNDUP(ROUND($D22*VLOOKUP($B22,設定!$A$6:$G$10,2,FALSE),6),0),ROUNDDOWN(ROUND($D22*VLOOKUP($B22,設定!$A$6:$G$10,2,FALSE),6),0)),"売り場名?"))</f>
        <v/>
      </c>
      <c r="F22" s="18">
        <f>IF(ISNUMBER($E22),IF(VLOOKUP($B22,設定!$A$6:$G$10,5,FALSE)="切り上げ",ROUNDUP(ROUND(($D22-$E22)*VLOOKUP($B22,設定!$A$6:$G$10,3,FALSE),6),0),ROUNDDOWN(ROUND(($D22-$E22)*VLOOKUP($B22,設定!$A$6:$G$10,3,FALSE),6),0)),"")</f>
        <v/>
      </c>
      <c r="G22" s="18">
        <f>IF(ISNUMBER($E22),VLOOKUP($B22,設定!$A$6:$G$10,4,FALSE),"")</f>
        <v/>
      </c>
      <c r="H22" s="18">
        <f>IF(ISNUMBER($E22),$E22+$F22+$G22,"")</f>
        <v/>
      </c>
      <c r="I22" s="22">
        <f>IF(ISNUMBER($H22),$D22-$H22,IF(AND($D22&lt;&gt;"",$B22=""),"←売り場を選ぶ",""))</f>
        <v/>
      </c>
      <c r="J22" s="20" t="n"/>
    </row>
    <row r="23">
      <c r="A23" s="19" t="n"/>
      <c r="B23" s="13" t="n"/>
      <c r="C23" s="20" t="n"/>
      <c r="D23" s="21" t="n"/>
      <c r="E23" s="18">
        <f>IF(OR($B23="",$D23=""),"",IFERROR(IF(VLOOKUP($B23,設定!$A$6:$G$10,5,FALSE)="切り上げ",ROUNDUP(ROUND($D23*VLOOKUP($B23,設定!$A$6:$G$10,2,FALSE),6),0),ROUNDDOWN(ROUND($D23*VLOOKUP($B23,設定!$A$6:$G$10,2,FALSE),6),0)),"売り場名?"))</f>
        <v/>
      </c>
      <c r="F23" s="18">
        <f>IF(ISNUMBER($E23),IF(VLOOKUP($B23,設定!$A$6:$G$10,5,FALSE)="切り上げ",ROUNDUP(ROUND(($D23-$E23)*VLOOKUP($B23,設定!$A$6:$G$10,3,FALSE),6),0),ROUNDDOWN(ROUND(($D23-$E23)*VLOOKUP($B23,設定!$A$6:$G$10,3,FALSE),6),0)),"")</f>
        <v/>
      </c>
      <c r="G23" s="18">
        <f>IF(ISNUMBER($E23),VLOOKUP($B23,設定!$A$6:$G$10,4,FALSE),"")</f>
        <v/>
      </c>
      <c r="H23" s="18">
        <f>IF(ISNUMBER($E23),$E23+$F23+$G23,"")</f>
        <v/>
      </c>
      <c r="I23" s="22">
        <f>IF(ISNUMBER($H23),$D23-$H23,IF(AND($D23&lt;&gt;"",$B23=""),"←売り場を選ぶ",""))</f>
        <v/>
      </c>
      <c r="J23" s="20" t="n"/>
    </row>
    <row r="24">
      <c r="A24" s="19" t="n"/>
      <c r="B24" s="13" t="n"/>
      <c r="C24" s="20" t="n"/>
      <c r="D24" s="21" t="n"/>
      <c r="E24" s="18">
        <f>IF(OR($B24="",$D24=""),"",IFERROR(IF(VLOOKUP($B24,設定!$A$6:$G$10,5,FALSE)="切り上げ",ROUNDUP(ROUND($D24*VLOOKUP($B24,設定!$A$6:$G$10,2,FALSE),6),0),ROUNDDOWN(ROUND($D24*VLOOKUP($B24,設定!$A$6:$G$10,2,FALSE),6),0)),"売り場名?"))</f>
        <v/>
      </c>
      <c r="F24" s="18">
        <f>IF(ISNUMBER($E24),IF(VLOOKUP($B24,設定!$A$6:$G$10,5,FALSE)="切り上げ",ROUNDUP(ROUND(($D24-$E24)*VLOOKUP($B24,設定!$A$6:$G$10,3,FALSE),6),0),ROUNDDOWN(ROUND(($D24-$E24)*VLOOKUP($B24,設定!$A$6:$G$10,3,FALSE),6),0)),"")</f>
        <v/>
      </c>
      <c r="G24" s="18">
        <f>IF(ISNUMBER($E24),VLOOKUP($B24,設定!$A$6:$G$10,4,FALSE),"")</f>
        <v/>
      </c>
      <c r="H24" s="18">
        <f>IF(ISNUMBER($E24),$E24+$F24+$G24,"")</f>
        <v/>
      </c>
      <c r="I24" s="22">
        <f>IF(ISNUMBER($H24),$D24-$H24,IF(AND($D24&lt;&gt;"",$B24=""),"←売り場を選ぶ",""))</f>
        <v/>
      </c>
      <c r="J24" s="20" t="n"/>
    </row>
    <row r="25">
      <c r="A25" s="19" t="n"/>
      <c r="B25" s="13" t="n"/>
      <c r="C25" s="20" t="n"/>
      <c r="D25" s="21" t="n"/>
      <c r="E25" s="18">
        <f>IF(OR($B25="",$D25=""),"",IFERROR(IF(VLOOKUP($B25,設定!$A$6:$G$10,5,FALSE)="切り上げ",ROUNDUP(ROUND($D25*VLOOKUP($B25,設定!$A$6:$G$10,2,FALSE),6),0),ROUNDDOWN(ROUND($D25*VLOOKUP($B25,設定!$A$6:$G$10,2,FALSE),6),0)),"売り場名?"))</f>
        <v/>
      </c>
      <c r="F25" s="18">
        <f>IF(ISNUMBER($E25),IF(VLOOKUP($B25,設定!$A$6:$G$10,5,FALSE)="切り上げ",ROUNDUP(ROUND(($D25-$E25)*VLOOKUP($B25,設定!$A$6:$G$10,3,FALSE),6),0),ROUNDDOWN(ROUND(($D25-$E25)*VLOOKUP($B25,設定!$A$6:$G$10,3,FALSE),6),0)),"")</f>
        <v/>
      </c>
      <c r="G25" s="18">
        <f>IF(ISNUMBER($E25),VLOOKUP($B25,設定!$A$6:$G$10,4,FALSE),"")</f>
        <v/>
      </c>
      <c r="H25" s="18">
        <f>IF(ISNUMBER($E25),$E25+$F25+$G25,"")</f>
        <v/>
      </c>
      <c r="I25" s="22">
        <f>IF(ISNUMBER($H25),$D25-$H25,IF(AND($D25&lt;&gt;"",$B25=""),"←売り場を選ぶ",""))</f>
        <v/>
      </c>
      <c r="J25" s="20" t="n"/>
    </row>
    <row r="26">
      <c r="A26" s="19" t="n"/>
      <c r="B26" s="13" t="n"/>
      <c r="C26" s="20" t="n"/>
      <c r="D26" s="21" t="n"/>
      <c r="E26" s="18">
        <f>IF(OR($B26="",$D26=""),"",IFERROR(IF(VLOOKUP($B26,設定!$A$6:$G$10,5,FALSE)="切り上げ",ROUNDUP(ROUND($D26*VLOOKUP($B26,設定!$A$6:$G$10,2,FALSE),6),0),ROUNDDOWN(ROUND($D26*VLOOKUP($B26,設定!$A$6:$G$10,2,FALSE),6),0)),"売り場名?"))</f>
        <v/>
      </c>
      <c r="F26" s="18">
        <f>IF(ISNUMBER($E26),IF(VLOOKUP($B26,設定!$A$6:$G$10,5,FALSE)="切り上げ",ROUNDUP(ROUND(($D26-$E26)*VLOOKUP($B26,設定!$A$6:$G$10,3,FALSE),6),0),ROUNDDOWN(ROUND(($D26-$E26)*VLOOKUP($B26,設定!$A$6:$G$10,3,FALSE),6),0)),"")</f>
        <v/>
      </c>
      <c r="G26" s="18">
        <f>IF(ISNUMBER($E26),VLOOKUP($B26,設定!$A$6:$G$10,4,FALSE),"")</f>
        <v/>
      </c>
      <c r="H26" s="18">
        <f>IF(ISNUMBER($E26),$E26+$F26+$G26,"")</f>
        <v/>
      </c>
      <c r="I26" s="22">
        <f>IF(ISNUMBER($H26),$D26-$H26,IF(AND($D26&lt;&gt;"",$B26=""),"←売り場を選ぶ",""))</f>
        <v/>
      </c>
      <c r="J26" s="20" t="n"/>
    </row>
    <row r="27">
      <c r="A27" s="19" t="n"/>
      <c r="B27" s="13" t="n"/>
      <c r="C27" s="20" t="n"/>
      <c r="D27" s="21" t="n"/>
      <c r="E27" s="18">
        <f>IF(OR($B27="",$D27=""),"",IFERROR(IF(VLOOKUP($B27,設定!$A$6:$G$10,5,FALSE)="切り上げ",ROUNDUP(ROUND($D27*VLOOKUP($B27,設定!$A$6:$G$10,2,FALSE),6),0),ROUNDDOWN(ROUND($D27*VLOOKUP($B27,設定!$A$6:$G$10,2,FALSE),6),0)),"売り場名?"))</f>
        <v/>
      </c>
      <c r="F27" s="18">
        <f>IF(ISNUMBER($E27),IF(VLOOKUP($B27,設定!$A$6:$G$10,5,FALSE)="切り上げ",ROUNDUP(ROUND(($D27-$E27)*VLOOKUP($B27,設定!$A$6:$G$10,3,FALSE),6),0),ROUNDDOWN(ROUND(($D27-$E27)*VLOOKUP($B27,設定!$A$6:$G$10,3,FALSE),6),0)),"")</f>
        <v/>
      </c>
      <c r="G27" s="18">
        <f>IF(ISNUMBER($E27),VLOOKUP($B27,設定!$A$6:$G$10,4,FALSE),"")</f>
        <v/>
      </c>
      <c r="H27" s="18">
        <f>IF(ISNUMBER($E27),$E27+$F27+$G27,"")</f>
        <v/>
      </c>
      <c r="I27" s="22">
        <f>IF(ISNUMBER($H27),$D27-$H27,IF(AND($D27&lt;&gt;"",$B27=""),"←売り場を選ぶ",""))</f>
        <v/>
      </c>
      <c r="J27" s="20" t="n"/>
    </row>
    <row r="28">
      <c r="A28" s="19" t="n"/>
      <c r="B28" s="13" t="n"/>
      <c r="C28" s="20" t="n"/>
      <c r="D28" s="21" t="n"/>
      <c r="E28" s="18">
        <f>IF(OR($B28="",$D28=""),"",IFERROR(IF(VLOOKUP($B28,設定!$A$6:$G$10,5,FALSE)="切り上げ",ROUNDUP(ROUND($D28*VLOOKUP($B28,設定!$A$6:$G$10,2,FALSE),6),0),ROUNDDOWN(ROUND($D28*VLOOKUP($B28,設定!$A$6:$G$10,2,FALSE),6),0)),"売り場名?"))</f>
        <v/>
      </c>
      <c r="F28" s="18">
        <f>IF(ISNUMBER($E28),IF(VLOOKUP($B28,設定!$A$6:$G$10,5,FALSE)="切り上げ",ROUNDUP(ROUND(($D28-$E28)*VLOOKUP($B28,設定!$A$6:$G$10,3,FALSE),6),0),ROUNDDOWN(ROUND(($D28-$E28)*VLOOKUP($B28,設定!$A$6:$G$10,3,FALSE),6),0)),"")</f>
        <v/>
      </c>
      <c r="G28" s="18">
        <f>IF(ISNUMBER($E28),VLOOKUP($B28,設定!$A$6:$G$10,4,FALSE),"")</f>
        <v/>
      </c>
      <c r="H28" s="18">
        <f>IF(ISNUMBER($E28),$E28+$F28+$G28,"")</f>
        <v/>
      </c>
      <c r="I28" s="22">
        <f>IF(ISNUMBER($H28),$D28-$H28,IF(AND($D28&lt;&gt;"",$B28=""),"←売り場を選ぶ",""))</f>
        <v/>
      </c>
      <c r="J28" s="20" t="n"/>
    </row>
    <row r="29">
      <c r="A29" s="19" t="n"/>
      <c r="B29" s="13" t="n"/>
      <c r="C29" s="20" t="n"/>
      <c r="D29" s="21" t="n"/>
      <c r="E29" s="18">
        <f>IF(OR($B29="",$D29=""),"",IFERROR(IF(VLOOKUP($B29,設定!$A$6:$G$10,5,FALSE)="切り上げ",ROUNDUP(ROUND($D29*VLOOKUP($B29,設定!$A$6:$G$10,2,FALSE),6),0),ROUNDDOWN(ROUND($D29*VLOOKUP($B29,設定!$A$6:$G$10,2,FALSE),6),0)),"売り場名?"))</f>
        <v/>
      </c>
      <c r="F29" s="18">
        <f>IF(ISNUMBER($E29),IF(VLOOKUP($B29,設定!$A$6:$G$10,5,FALSE)="切り上げ",ROUNDUP(ROUND(($D29-$E29)*VLOOKUP($B29,設定!$A$6:$G$10,3,FALSE),6),0),ROUNDDOWN(ROUND(($D29-$E29)*VLOOKUP($B29,設定!$A$6:$G$10,3,FALSE),6),0)),"")</f>
        <v/>
      </c>
      <c r="G29" s="18">
        <f>IF(ISNUMBER($E29),VLOOKUP($B29,設定!$A$6:$G$10,4,FALSE),"")</f>
        <v/>
      </c>
      <c r="H29" s="18">
        <f>IF(ISNUMBER($E29),$E29+$F29+$G29,"")</f>
        <v/>
      </c>
      <c r="I29" s="22">
        <f>IF(ISNUMBER($H29),$D29-$H29,IF(AND($D29&lt;&gt;"",$B29=""),"←売り場を選ぶ",""))</f>
        <v/>
      </c>
      <c r="J29" s="20" t="n"/>
    </row>
    <row r="30">
      <c r="A30" s="19" t="n"/>
      <c r="B30" s="13" t="n"/>
      <c r="C30" s="20" t="n"/>
      <c r="D30" s="21" t="n"/>
      <c r="E30" s="18">
        <f>IF(OR($B30="",$D30=""),"",IFERROR(IF(VLOOKUP($B30,設定!$A$6:$G$10,5,FALSE)="切り上げ",ROUNDUP(ROUND($D30*VLOOKUP($B30,設定!$A$6:$G$10,2,FALSE),6),0),ROUNDDOWN(ROUND($D30*VLOOKUP($B30,設定!$A$6:$G$10,2,FALSE),6),0)),"売り場名?"))</f>
        <v/>
      </c>
      <c r="F30" s="18">
        <f>IF(ISNUMBER($E30),IF(VLOOKUP($B30,設定!$A$6:$G$10,5,FALSE)="切り上げ",ROUNDUP(ROUND(($D30-$E30)*VLOOKUP($B30,設定!$A$6:$G$10,3,FALSE),6),0),ROUNDDOWN(ROUND(($D30-$E30)*VLOOKUP($B30,設定!$A$6:$G$10,3,FALSE),6),0)),"")</f>
        <v/>
      </c>
      <c r="G30" s="18">
        <f>IF(ISNUMBER($E30),VLOOKUP($B30,設定!$A$6:$G$10,4,FALSE),"")</f>
        <v/>
      </c>
      <c r="H30" s="18">
        <f>IF(ISNUMBER($E30),$E30+$F30+$G30,"")</f>
        <v/>
      </c>
      <c r="I30" s="22">
        <f>IF(ISNUMBER($H30),$D30-$H30,IF(AND($D30&lt;&gt;"",$B30=""),"←売り場を選ぶ",""))</f>
        <v/>
      </c>
      <c r="J30" s="20" t="n"/>
    </row>
    <row r="31">
      <c r="A31" s="19" t="n"/>
      <c r="B31" s="13" t="n"/>
      <c r="C31" s="20" t="n"/>
      <c r="D31" s="21" t="n"/>
      <c r="E31" s="18">
        <f>IF(OR($B31="",$D31=""),"",IFERROR(IF(VLOOKUP($B31,設定!$A$6:$G$10,5,FALSE)="切り上げ",ROUNDUP(ROUND($D31*VLOOKUP($B31,設定!$A$6:$G$10,2,FALSE),6),0),ROUNDDOWN(ROUND($D31*VLOOKUP($B31,設定!$A$6:$G$10,2,FALSE),6),0)),"売り場名?"))</f>
        <v/>
      </c>
      <c r="F31" s="18">
        <f>IF(ISNUMBER($E31),IF(VLOOKUP($B31,設定!$A$6:$G$10,5,FALSE)="切り上げ",ROUNDUP(ROUND(($D31-$E31)*VLOOKUP($B31,設定!$A$6:$G$10,3,FALSE),6),0),ROUNDDOWN(ROUND(($D31-$E31)*VLOOKUP($B31,設定!$A$6:$G$10,3,FALSE),6),0)),"")</f>
        <v/>
      </c>
      <c r="G31" s="18">
        <f>IF(ISNUMBER($E31),VLOOKUP($B31,設定!$A$6:$G$10,4,FALSE),"")</f>
        <v/>
      </c>
      <c r="H31" s="18">
        <f>IF(ISNUMBER($E31),$E31+$F31+$G31,"")</f>
        <v/>
      </c>
      <c r="I31" s="22">
        <f>IF(ISNUMBER($H31),$D31-$H31,IF(AND($D31&lt;&gt;"",$B31=""),"←売り場を選ぶ",""))</f>
        <v/>
      </c>
      <c r="J31" s="20" t="n"/>
    </row>
    <row r="32">
      <c r="A32" s="19" t="n"/>
      <c r="B32" s="13" t="n"/>
      <c r="C32" s="20" t="n"/>
      <c r="D32" s="21" t="n"/>
      <c r="E32" s="18">
        <f>IF(OR($B32="",$D32=""),"",IFERROR(IF(VLOOKUP($B32,設定!$A$6:$G$10,5,FALSE)="切り上げ",ROUNDUP(ROUND($D32*VLOOKUP($B32,設定!$A$6:$G$10,2,FALSE),6),0),ROUNDDOWN(ROUND($D32*VLOOKUP($B32,設定!$A$6:$G$10,2,FALSE),6),0)),"売り場名?"))</f>
        <v/>
      </c>
      <c r="F32" s="18">
        <f>IF(ISNUMBER($E32),IF(VLOOKUP($B32,設定!$A$6:$G$10,5,FALSE)="切り上げ",ROUNDUP(ROUND(($D32-$E32)*VLOOKUP($B32,設定!$A$6:$G$10,3,FALSE),6),0),ROUNDDOWN(ROUND(($D32-$E32)*VLOOKUP($B32,設定!$A$6:$G$10,3,FALSE),6),0)),"")</f>
        <v/>
      </c>
      <c r="G32" s="18">
        <f>IF(ISNUMBER($E32),VLOOKUP($B32,設定!$A$6:$G$10,4,FALSE),"")</f>
        <v/>
      </c>
      <c r="H32" s="18">
        <f>IF(ISNUMBER($E32),$E32+$F32+$G32,"")</f>
        <v/>
      </c>
      <c r="I32" s="22">
        <f>IF(ISNUMBER($H32),$D32-$H32,IF(AND($D32&lt;&gt;"",$B32=""),"←売り場を選ぶ",""))</f>
        <v/>
      </c>
      <c r="J32" s="20" t="n"/>
    </row>
    <row r="33">
      <c r="A33" s="19" t="n"/>
      <c r="B33" s="13" t="n"/>
      <c r="C33" s="20" t="n"/>
      <c r="D33" s="21" t="n"/>
      <c r="E33" s="18">
        <f>IF(OR($B33="",$D33=""),"",IFERROR(IF(VLOOKUP($B33,設定!$A$6:$G$10,5,FALSE)="切り上げ",ROUNDUP(ROUND($D33*VLOOKUP($B33,設定!$A$6:$G$10,2,FALSE),6),0),ROUNDDOWN(ROUND($D33*VLOOKUP($B33,設定!$A$6:$G$10,2,FALSE),6),0)),"売り場名?"))</f>
        <v/>
      </c>
      <c r="F33" s="18">
        <f>IF(ISNUMBER($E33),IF(VLOOKUP($B33,設定!$A$6:$G$10,5,FALSE)="切り上げ",ROUNDUP(ROUND(($D33-$E33)*VLOOKUP($B33,設定!$A$6:$G$10,3,FALSE),6),0),ROUNDDOWN(ROUND(($D33-$E33)*VLOOKUP($B33,設定!$A$6:$G$10,3,FALSE),6),0)),"")</f>
        <v/>
      </c>
      <c r="G33" s="18">
        <f>IF(ISNUMBER($E33),VLOOKUP($B33,設定!$A$6:$G$10,4,FALSE),"")</f>
        <v/>
      </c>
      <c r="H33" s="18">
        <f>IF(ISNUMBER($E33),$E33+$F33+$G33,"")</f>
        <v/>
      </c>
      <c r="I33" s="22">
        <f>IF(ISNUMBER($H33),$D33-$H33,IF(AND($D33&lt;&gt;"",$B33=""),"←売り場を選ぶ",""))</f>
        <v/>
      </c>
      <c r="J33" s="20" t="n"/>
    </row>
    <row r="34">
      <c r="A34" s="19" t="n"/>
      <c r="B34" s="13" t="n"/>
      <c r="C34" s="20" t="n"/>
      <c r="D34" s="21" t="n"/>
      <c r="E34" s="18">
        <f>IF(OR($B34="",$D34=""),"",IFERROR(IF(VLOOKUP($B34,設定!$A$6:$G$10,5,FALSE)="切り上げ",ROUNDUP(ROUND($D34*VLOOKUP($B34,設定!$A$6:$G$10,2,FALSE),6),0),ROUNDDOWN(ROUND($D34*VLOOKUP($B34,設定!$A$6:$G$10,2,FALSE),6),0)),"売り場名?"))</f>
        <v/>
      </c>
      <c r="F34" s="18">
        <f>IF(ISNUMBER($E34),IF(VLOOKUP($B34,設定!$A$6:$G$10,5,FALSE)="切り上げ",ROUNDUP(ROUND(($D34-$E34)*VLOOKUP($B34,設定!$A$6:$G$10,3,FALSE),6),0),ROUNDDOWN(ROUND(($D34-$E34)*VLOOKUP($B34,設定!$A$6:$G$10,3,FALSE),6),0)),"")</f>
        <v/>
      </c>
      <c r="G34" s="18">
        <f>IF(ISNUMBER($E34),VLOOKUP($B34,設定!$A$6:$G$10,4,FALSE),"")</f>
        <v/>
      </c>
      <c r="H34" s="18">
        <f>IF(ISNUMBER($E34),$E34+$F34+$G34,"")</f>
        <v/>
      </c>
      <c r="I34" s="22">
        <f>IF(ISNUMBER($H34),$D34-$H34,IF(AND($D34&lt;&gt;"",$B34=""),"←売り場を選ぶ",""))</f>
        <v/>
      </c>
      <c r="J34" s="20" t="n"/>
    </row>
    <row r="35">
      <c r="A35" s="19" t="n"/>
      <c r="B35" s="13" t="n"/>
      <c r="C35" s="20" t="n"/>
      <c r="D35" s="21" t="n"/>
      <c r="E35" s="18">
        <f>IF(OR($B35="",$D35=""),"",IFERROR(IF(VLOOKUP($B35,設定!$A$6:$G$10,5,FALSE)="切り上げ",ROUNDUP(ROUND($D35*VLOOKUP($B35,設定!$A$6:$G$10,2,FALSE),6),0),ROUNDDOWN(ROUND($D35*VLOOKUP($B35,設定!$A$6:$G$10,2,FALSE),6),0)),"売り場名?"))</f>
        <v/>
      </c>
      <c r="F35" s="18">
        <f>IF(ISNUMBER($E35),IF(VLOOKUP($B35,設定!$A$6:$G$10,5,FALSE)="切り上げ",ROUNDUP(ROUND(($D35-$E35)*VLOOKUP($B35,設定!$A$6:$G$10,3,FALSE),6),0),ROUNDDOWN(ROUND(($D35-$E35)*VLOOKUP($B35,設定!$A$6:$G$10,3,FALSE),6),0)),"")</f>
        <v/>
      </c>
      <c r="G35" s="18">
        <f>IF(ISNUMBER($E35),VLOOKUP($B35,設定!$A$6:$G$10,4,FALSE),"")</f>
        <v/>
      </c>
      <c r="H35" s="18">
        <f>IF(ISNUMBER($E35),$E35+$F35+$G35,"")</f>
        <v/>
      </c>
      <c r="I35" s="22">
        <f>IF(ISNUMBER($H35),$D35-$H35,IF(AND($D35&lt;&gt;"",$B35=""),"←売り場を選ぶ",""))</f>
        <v/>
      </c>
      <c r="J35" s="20" t="n"/>
    </row>
    <row r="36">
      <c r="A36" s="19" t="n"/>
      <c r="B36" s="13" t="n"/>
      <c r="C36" s="20" t="n"/>
      <c r="D36" s="21" t="n"/>
      <c r="E36" s="18">
        <f>IF(OR($B36="",$D36=""),"",IFERROR(IF(VLOOKUP($B36,設定!$A$6:$G$10,5,FALSE)="切り上げ",ROUNDUP(ROUND($D36*VLOOKUP($B36,設定!$A$6:$G$10,2,FALSE),6),0),ROUNDDOWN(ROUND($D36*VLOOKUP($B36,設定!$A$6:$G$10,2,FALSE),6),0)),"売り場名?"))</f>
        <v/>
      </c>
      <c r="F36" s="18">
        <f>IF(ISNUMBER($E36),IF(VLOOKUP($B36,設定!$A$6:$G$10,5,FALSE)="切り上げ",ROUNDUP(ROUND(($D36-$E36)*VLOOKUP($B36,設定!$A$6:$G$10,3,FALSE),6),0),ROUNDDOWN(ROUND(($D36-$E36)*VLOOKUP($B36,設定!$A$6:$G$10,3,FALSE),6),0)),"")</f>
        <v/>
      </c>
      <c r="G36" s="18">
        <f>IF(ISNUMBER($E36),VLOOKUP($B36,設定!$A$6:$G$10,4,FALSE),"")</f>
        <v/>
      </c>
      <c r="H36" s="18">
        <f>IF(ISNUMBER($E36),$E36+$F36+$G36,"")</f>
        <v/>
      </c>
      <c r="I36" s="22">
        <f>IF(ISNUMBER($H36),$D36-$H36,IF(AND($D36&lt;&gt;"",$B36=""),"←売り場を選ぶ",""))</f>
        <v/>
      </c>
      <c r="J36" s="20" t="n"/>
    </row>
    <row r="37">
      <c r="A37" s="19" t="n"/>
      <c r="B37" s="13" t="n"/>
      <c r="C37" s="20" t="n"/>
      <c r="D37" s="21" t="n"/>
      <c r="E37" s="18">
        <f>IF(OR($B37="",$D37=""),"",IFERROR(IF(VLOOKUP($B37,設定!$A$6:$G$10,5,FALSE)="切り上げ",ROUNDUP(ROUND($D37*VLOOKUP($B37,設定!$A$6:$G$10,2,FALSE),6),0),ROUNDDOWN(ROUND($D37*VLOOKUP($B37,設定!$A$6:$G$10,2,FALSE),6),0)),"売り場名?"))</f>
        <v/>
      </c>
      <c r="F37" s="18">
        <f>IF(ISNUMBER($E37),IF(VLOOKUP($B37,設定!$A$6:$G$10,5,FALSE)="切り上げ",ROUNDUP(ROUND(($D37-$E37)*VLOOKUP($B37,設定!$A$6:$G$10,3,FALSE),6),0),ROUNDDOWN(ROUND(($D37-$E37)*VLOOKUP($B37,設定!$A$6:$G$10,3,FALSE),6),0)),"")</f>
        <v/>
      </c>
      <c r="G37" s="18">
        <f>IF(ISNUMBER($E37),VLOOKUP($B37,設定!$A$6:$G$10,4,FALSE),"")</f>
        <v/>
      </c>
      <c r="H37" s="18">
        <f>IF(ISNUMBER($E37),$E37+$F37+$G37,"")</f>
        <v/>
      </c>
      <c r="I37" s="22">
        <f>IF(ISNUMBER($H37),$D37-$H37,IF(AND($D37&lt;&gt;"",$B37=""),"←売り場を選ぶ",""))</f>
        <v/>
      </c>
      <c r="J37" s="20" t="n"/>
    </row>
    <row r="38">
      <c r="A38" s="19" t="n"/>
      <c r="B38" s="13" t="n"/>
      <c r="C38" s="20" t="n"/>
      <c r="D38" s="21" t="n"/>
      <c r="E38" s="18">
        <f>IF(OR($B38="",$D38=""),"",IFERROR(IF(VLOOKUP($B38,設定!$A$6:$G$10,5,FALSE)="切り上げ",ROUNDUP(ROUND($D38*VLOOKUP($B38,設定!$A$6:$G$10,2,FALSE),6),0),ROUNDDOWN(ROUND($D38*VLOOKUP($B38,設定!$A$6:$G$10,2,FALSE),6),0)),"売り場名?"))</f>
        <v/>
      </c>
      <c r="F38" s="18">
        <f>IF(ISNUMBER($E38),IF(VLOOKUP($B38,設定!$A$6:$G$10,5,FALSE)="切り上げ",ROUNDUP(ROUND(($D38-$E38)*VLOOKUP($B38,設定!$A$6:$G$10,3,FALSE),6),0),ROUNDDOWN(ROUND(($D38-$E38)*VLOOKUP($B38,設定!$A$6:$G$10,3,FALSE),6),0)),"")</f>
        <v/>
      </c>
      <c r="G38" s="18">
        <f>IF(ISNUMBER($E38),VLOOKUP($B38,設定!$A$6:$G$10,4,FALSE),"")</f>
        <v/>
      </c>
      <c r="H38" s="18">
        <f>IF(ISNUMBER($E38),$E38+$F38+$G38,"")</f>
        <v/>
      </c>
      <c r="I38" s="22">
        <f>IF(ISNUMBER($H38),$D38-$H38,IF(AND($D38&lt;&gt;"",$B38=""),"←売り場を選ぶ",""))</f>
        <v/>
      </c>
      <c r="J38" s="20" t="n"/>
    </row>
    <row r="39">
      <c r="A39" s="19" t="n"/>
      <c r="B39" s="13" t="n"/>
      <c r="C39" s="20" t="n"/>
      <c r="D39" s="21" t="n"/>
      <c r="E39" s="18">
        <f>IF(OR($B39="",$D39=""),"",IFERROR(IF(VLOOKUP($B39,設定!$A$6:$G$10,5,FALSE)="切り上げ",ROUNDUP(ROUND($D39*VLOOKUP($B39,設定!$A$6:$G$10,2,FALSE),6),0),ROUNDDOWN(ROUND($D39*VLOOKUP($B39,設定!$A$6:$G$10,2,FALSE),6),0)),"売り場名?"))</f>
        <v/>
      </c>
      <c r="F39" s="18">
        <f>IF(ISNUMBER($E39),IF(VLOOKUP($B39,設定!$A$6:$G$10,5,FALSE)="切り上げ",ROUNDUP(ROUND(($D39-$E39)*VLOOKUP($B39,設定!$A$6:$G$10,3,FALSE),6),0),ROUNDDOWN(ROUND(($D39-$E39)*VLOOKUP($B39,設定!$A$6:$G$10,3,FALSE),6),0)),"")</f>
        <v/>
      </c>
      <c r="G39" s="18">
        <f>IF(ISNUMBER($E39),VLOOKUP($B39,設定!$A$6:$G$10,4,FALSE),"")</f>
        <v/>
      </c>
      <c r="H39" s="18">
        <f>IF(ISNUMBER($E39),$E39+$F39+$G39,"")</f>
        <v/>
      </c>
      <c r="I39" s="22">
        <f>IF(ISNUMBER($H39),$D39-$H39,IF(AND($D39&lt;&gt;"",$B39=""),"←売り場を選ぶ",""))</f>
        <v/>
      </c>
      <c r="J39" s="20" t="n"/>
    </row>
    <row r="40">
      <c r="A40" s="19" t="n"/>
      <c r="B40" s="13" t="n"/>
      <c r="C40" s="20" t="n"/>
      <c r="D40" s="21" t="n"/>
      <c r="E40" s="18">
        <f>IF(OR($B40="",$D40=""),"",IFERROR(IF(VLOOKUP($B40,設定!$A$6:$G$10,5,FALSE)="切り上げ",ROUNDUP(ROUND($D40*VLOOKUP($B40,設定!$A$6:$G$10,2,FALSE),6),0),ROUNDDOWN(ROUND($D40*VLOOKUP($B40,設定!$A$6:$G$10,2,FALSE),6),0)),"売り場名?"))</f>
        <v/>
      </c>
      <c r="F40" s="18">
        <f>IF(ISNUMBER($E40),IF(VLOOKUP($B40,設定!$A$6:$G$10,5,FALSE)="切り上げ",ROUNDUP(ROUND(($D40-$E40)*VLOOKUP($B40,設定!$A$6:$G$10,3,FALSE),6),0),ROUNDDOWN(ROUND(($D40-$E40)*VLOOKUP($B40,設定!$A$6:$G$10,3,FALSE),6),0)),"")</f>
        <v/>
      </c>
      <c r="G40" s="18">
        <f>IF(ISNUMBER($E40),VLOOKUP($B40,設定!$A$6:$G$10,4,FALSE),"")</f>
        <v/>
      </c>
      <c r="H40" s="18">
        <f>IF(ISNUMBER($E40),$E40+$F40+$G40,"")</f>
        <v/>
      </c>
      <c r="I40" s="22">
        <f>IF(ISNUMBER($H40),$D40-$H40,IF(AND($D40&lt;&gt;"",$B40=""),"←売り場を選ぶ",""))</f>
        <v/>
      </c>
      <c r="J40" s="20" t="n"/>
    </row>
    <row r="41">
      <c r="A41" s="19" t="n"/>
      <c r="B41" s="13" t="n"/>
      <c r="C41" s="20" t="n"/>
      <c r="D41" s="21" t="n"/>
      <c r="E41" s="18">
        <f>IF(OR($B41="",$D41=""),"",IFERROR(IF(VLOOKUP($B41,設定!$A$6:$G$10,5,FALSE)="切り上げ",ROUNDUP(ROUND($D41*VLOOKUP($B41,設定!$A$6:$G$10,2,FALSE),6),0),ROUNDDOWN(ROUND($D41*VLOOKUP($B41,設定!$A$6:$G$10,2,FALSE),6),0)),"売り場名?"))</f>
        <v/>
      </c>
      <c r="F41" s="18">
        <f>IF(ISNUMBER($E41),IF(VLOOKUP($B41,設定!$A$6:$G$10,5,FALSE)="切り上げ",ROUNDUP(ROUND(($D41-$E41)*VLOOKUP($B41,設定!$A$6:$G$10,3,FALSE),6),0),ROUNDDOWN(ROUND(($D41-$E41)*VLOOKUP($B41,設定!$A$6:$G$10,3,FALSE),6),0)),"")</f>
        <v/>
      </c>
      <c r="G41" s="18">
        <f>IF(ISNUMBER($E41),VLOOKUP($B41,設定!$A$6:$G$10,4,FALSE),"")</f>
        <v/>
      </c>
      <c r="H41" s="18">
        <f>IF(ISNUMBER($E41),$E41+$F41+$G41,"")</f>
        <v/>
      </c>
      <c r="I41" s="22">
        <f>IF(ISNUMBER($H41),$D41-$H41,IF(AND($D41&lt;&gt;"",$B41=""),"←売り場を選ぶ",""))</f>
        <v/>
      </c>
      <c r="J41" s="20" t="n"/>
    </row>
    <row r="42">
      <c r="A42" s="19" t="n"/>
      <c r="B42" s="13" t="n"/>
      <c r="C42" s="20" t="n"/>
      <c r="D42" s="21" t="n"/>
      <c r="E42" s="18">
        <f>IF(OR($B42="",$D42=""),"",IFERROR(IF(VLOOKUP($B42,設定!$A$6:$G$10,5,FALSE)="切り上げ",ROUNDUP(ROUND($D42*VLOOKUP($B42,設定!$A$6:$G$10,2,FALSE),6),0),ROUNDDOWN(ROUND($D42*VLOOKUP($B42,設定!$A$6:$G$10,2,FALSE),6),0)),"売り場名?"))</f>
        <v/>
      </c>
      <c r="F42" s="18">
        <f>IF(ISNUMBER($E42),IF(VLOOKUP($B42,設定!$A$6:$G$10,5,FALSE)="切り上げ",ROUNDUP(ROUND(($D42-$E42)*VLOOKUP($B42,設定!$A$6:$G$10,3,FALSE),6),0),ROUNDDOWN(ROUND(($D42-$E42)*VLOOKUP($B42,設定!$A$6:$G$10,3,FALSE),6),0)),"")</f>
        <v/>
      </c>
      <c r="G42" s="18">
        <f>IF(ISNUMBER($E42),VLOOKUP($B42,設定!$A$6:$G$10,4,FALSE),"")</f>
        <v/>
      </c>
      <c r="H42" s="18">
        <f>IF(ISNUMBER($E42),$E42+$F42+$G42,"")</f>
        <v/>
      </c>
      <c r="I42" s="22">
        <f>IF(ISNUMBER($H42),$D42-$H42,IF(AND($D42&lt;&gt;"",$B42=""),"←売り場を選ぶ",""))</f>
        <v/>
      </c>
      <c r="J42" s="20" t="n"/>
    </row>
    <row r="43">
      <c r="A43" s="19" t="n"/>
      <c r="B43" s="13" t="n"/>
      <c r="C43" s="20" t="n"/>
      <c r="D43" s="21" t="n"/>
      <c r="E43" s="18">
        <f>IF(OR($B43="",$D43=""),"",IFERROR(IF(VLOOKUP($B43,設定!$A$6:$G$10,5,FALSE)="切り上げ",ROUNDUP(ROUND($D43*VLOOKUP($B43,設定!$A$6:$G$10,2,FALSE),6),0),ROUNDDOWN(ROUND($D43*VLOOKUP($B43,設定!$A$6:$G$10,2,FALSE),6),0)),"売り場名?"))</f>
        <v/>
      </c>
      <c r="F43" s="18">
        <f>IF(ISNUMBER($E43),IF(VLOOKUP($B43,設定!$A$6:$G$10,5,FALSE)="切り上げ",ROUNDUP(ROUND(($D43-$E43)*VLOOKUP($B43,設定!$A$6:$G$10,3,FALSE),6),0),ROUNDDOWN(ROUND(($D43-$E43)*VLOOKUP($B43,設定!$A$6:$G$10,3,FALSE),6),0)),"")</f>
        <v/>
      </c>
      <c r="G43" s="18">
        <f>IF(ISNUMBER($E43),VLOOKUP($B43,設定!$A$6:$G$10,4,FALSE),"")</f>
        <v/>
      </c>
      <c r="H43" s="18">
        <f>IF(ISNUMBER($E43),$E43+$F43+$G43,"")</f>
        <v/>
      </c>
      <c r="I43" s="22">
        <f>IF(ISNUMBER($H43),$D43-$H43,IF(AND($D43&lt;&gt;"",$B43=""),"←売り場を選ぶ",""))</f>
        <v/>
      </c>
      <c r="J43" s="20" t="n"/>
    </row>
    <row r="44">
      <c r="A44" s="19" t="n"/>
      <c r="B44" s="13" t="n"/>
      <c r="C44" s="20" t="n"/>
      <c r="D44" s="21" t="n"/>
      <c r="E44" s="18">
        <f>IF(OR($B44="",$D44=""),"",IFERROR(IF(VLOOKUP($B44,設定!$A$6:$G$10,5,FALSE)="切り上げ",ROUNDUP(ROUND($D44*VLOOKUP($B44,設定!$A$6:$G$10,2,FALSE),6),0),ROUNDDOWN(ROUND($D44*VLOOKUP($B44,設定!$A$6:$G$10,2,FALSE),6),0)),"売り場名?"))</f>
        <v/>
      </c>
      <c r="F44" s="18">
        <f>IF(ISNUMBER($E44),IF(VLOOKUP($B44,設定!$A$6:$G$10,5,FALSE)="切り上げ",ROUNDUP(ROUND(($D44-$E44)*VLOOKUP($B44,設定!$A$6:$G$10,3,FALSE),6),0),ROUNDDOWN(ROUND(($D44-$E44)*VLOOKUP($B44,設定!$A$6:$G$10,3,FALSE),6),0)),"")</f>
        <v/>
      </c>
      <c r="G44" s="18">
        <f>IF(ISNUMBER($E44),VLOOKUP($B44,設定!$A$6:$G$10,4,FALSE),"")</f>
        <v/>
      </c>
      <c r="H44" s="18">
        <f>IF(ISNUMBER($E44),$E44+$F44+$G44,"")</f>
        <v/>
      </c>
      <c r="I44" s="22">
        <f>IF(ISNUMBER($H44),$D44-$H44,IF(AND($D44&lt;&gt;"",$B44=""),"←売り場を選ぶ",""))</f>
        <v/>
      </c>
      <c r="J44" s="20" t="n"/>
    </row>
    <row r="45">
      <c r="A45" s="19" t="n"/>
      <c r="B45" s="13" t="n"/>
      <c r="C45" s="20" t="n"/>
      <c r="D45" s="21" t="n"/>
      <c r="E45" s="18">
        <f>IF(OR($B45="",$D45=""),"",IFERROR(IF(VLOOKUP($B45,設定!$A$6:$G$10,5,FALSE)="切り上げ",ROUNDUP(ROUND($D45*VLOOKUP($B45,設定!$A$6:$G$10,2,FALSE),6),0),ROUNDDOWN(ROUND($D45*VLOOKUP($B45,設定!$A$6:$G$10,2,FALSE),6),0)),"売り場名?"))</f>
        <v/>
      </c>
      <c r="F45" s="18">
        <f>IF(ISNUMBER($E45),IF(VLOOKUP($B45,設定!$A$6:$G$10,5,FALSE)="切り上げ",ROUNDUP(ROUND(($D45-$E45)*VLOOKUP($B45,設定!$A$6:$G$10,3,FALSE),6),0),ROUNDDOWN(ROUND(($D45-$E45)*VLOOKUP($B45,設定!$A$6:$G$10,3,FALSE),6),0)),"")</f>
        <v/>
      </c>
      <c r="G45" s="18">
        <f>IF(ISNUMBER($E45),VLOOKUP($B45,設定!$A$6:$G$10,4,FALSE),"")</f>
        <v/>
      </c>
      <c r="H45" s="18">
        <f>IF(ISNUMBER($E45),$E45+$F45+$G45,"")</f>
        <v/>
      </c>
      <c r="I45" s="22">
        <f>IF(ISNUMBER($H45),$D45-$H45,IF(AND($D45&lt;&gt;"",$B45=""),"←売り場を選ぶ",""))</f>
        <v/>
      </c>
      <c r="J45" s="20" t="n"/>
    </row>
    <row r="46">
      <c r="A46" s="19" t="n"/>
      <c r="B46" s="13" t="n"/>
      <c r="C46" s="20" t="n"/>
      <c r="D46" s="21" t="n"/>
      <c r="E46" s="18">
        <f>IF(OR($B46="",$D46=""),"",IFERROR(IF(VLOOKUP($B46,設定!$A$6:$G$10,5,FALSE)="切り上げ",ROUNDUP(ROUND($D46*VLOOKUP($B46,設定!$A$6:$G$10,2,FALSE),6),0),ROUNDDOWN(ROUND($D46*VLOOKUP($B46,設定!$A$6:$G$10,2,FALSE),6),0)),"売り場名?"))</f>
        <v/>
      </c>
      <c r="F46" s="18">
        <f>IF(ISNUMBER($E46),IF(VLOOKUP($B46,設定!$A$6:$G$10,5,FALSE)="切り上げ",ROUNDUP(ROUND(($D46-$E46)*VLOOKUP($B46,設定!$A$6:$G$10,3,FALSE),6),0),ROUNDDOWN(ROUND(($D46-$E46)*VLOOKUP($B46,設定!$A$6:$G$10,3,FALSE),6),0)),"")</f>
        <v/>
      </c>
      <c r="G46" s="18">
        <f>IF(ISNUMBER($E46),VLOOKUP($B46,設定!$A$6:$G$10,4,FALSE),"")</f>
        <v/>
      </c>
      <c r="H46" s="18">
        <f>IF(ISNUMBER($E46),$E46+$F46+$G46,"")</f>
        <v/>
      </c>
      <c r="I46" s="22">
        <f>IF(ISNUMBER($H46),$D46-$H46,IF(AND($D46&lt;&gt;"",$B46=""),"←売り場を選ぶ",""))</f>
        <v/>
      </c>
      <c r="J46" s="20" t="n"/>
    </row>
    <row r="47">
      <c r="A47" s="19" t="n"/>
      <c r="B47" s="13" t="n"/>
      <c r="C47" s="20" t="n"/>
      <c r="D47" s="21" t="n"/>
      <c r="E47" s="18">
        <f>IF(OR($B47="",$D47=""),"",IFERROR(IF(VLOOKUP($B47,設定!$A$6:$G$10,5,FALSE)="切り上げ",ROUNDUP(ROUND($D47*VLOOKUP($B47,設定!$A$6:$G$10,2,FALSE),6),0),ROUNDDOWN(ROUND($D47*VLOOKUP($B47,設定!$A$6:$G$10,2,FALSE),6),0)),"売り場名?"))</f>
        <v/>
      </c>
      <c r="F47" s="18">
        <f>IF(ISNUMBER($E47),IF(VLOOKUP($B47,設定!$A$6:$G$10,5,FALSE)="切り上げ",ROUNDUP(ROUND(($D47-$E47)*VLOOKUP($B47,設定!$A$6:$G$10,3,FALSE),6),0),ROUNDDOWN(ROUND(($D47-$E47)*VLOOKUP($B47,設定!$A$6:$G$10,3,FALSE),6),0)),"")</f>
        <v/>
      </c>
      <c r="G47" s="18">
        <f>IF(ISNUMBER($E47),VLOOKUP($B47,設定!$A$6:$G$10,4,FALSE),"")</f>
        <v/>
      </c>
      <c r="H47" s="18">
        <f>IF(ISNUMBER($E47),$E47+$F47+$G47,"")</f>
        <v/>
      </c>
      <c r="I47" s="22">
        <f>IF(ISNUMBER($H47),$D47-$H47,IF(AND($D47&lt;&gt;"",$B47=""),"←売り場を選ぶ",""))</f>
        <v/>
      </c>
      <c r="J47" s="20" t="n"/>
    </row>
    <row r="48">
      <c r="A48" s="19" t="n"/>
      <c r="B48" s="13" t="n"/>
      <c r="C48" s="20" t="n"/>
      <c r="D48" s="21" t="n"/>
      <c r="E48" s="18">
        <f>IF(OR($B48="",$D48=""),"",IFERROR(IF(VLOOKUP($B48,設定!$A$6:$G$10,5,FALSE)="切り上げ",ROUNDUP(ROUND($D48*VLOOKUP($B48,設定!$A$6:$G$10,2,FALSE),6),0),ROUNDDOWN(ROUND($D48*VLOOKUP($B48,設定!$A$6:$G$10,2,FALSE),6),0)),"売り場名?"))</f>
        <v/>
      </c>
      <c r="F48" s="18">
        <f>IF(ISNUMBER($E48),IF(VLOOKUP($B48,設定!$A$6:$G$10,5,FALSE)="切り上げ",ROUNDUP(ROUND(($D48-$E48)*VLOOKUP($B48,設定!$A$6:$G$10,3,FALSE),6),0),ROUNDDOWN(ROUND(($D48-$E48)*VLOOKUP($B48,設定!$A$6:$G$10,3,FALSE),6),0)),"")</f>
        <v/>
      </c>
      <c r="G48" s="18">
        <f>IF(ISNUMBER($E48),VLOOKUP($B48,設定!$A$6:$G$10,4,FALSE),"")</f>
        <v/>
      </c>
      <c r="H48" s="18">
        <f>IF(ISNUMBER($E48),$E48+$F48+$G48,"")</f>
        <v/>
      </c>
      <c r="I48" s="22">
        <f>IF(ISNUMBER($H48),$D48-$H48,IF(AND($D48&lt;&gt;"",$B48=""),"←売り場を選ぶ",""))</f>
        <v/>
      </c>
      <c r="J48" s="20" t="n"/>
    </row>
    <row r="49">
      <c r="A49" s="19" t="n"/>
      <c r="B49" s="13" t="n"/>
      <c r="C49" s="20" t="n"/>
      <c r="D49" s="21" t="n"/>
      <c r="E49" s="18">
        <f>IF(OR($B49="",$D49=""),"",IFERROR(IF(VLOOKUP($B49,設定!$A$6:$G$10,5,FALSE)="切り上げ",ROUNDUP(ROUND($D49*VLOOKUP($B49,設定!$A$6:$G$10,2,FALSE),6),0),ROUNDDOWN(ROUND($D49*VLOOKUP($B49,設定!$A$6:$G$10,2,FALSE),6),0)),"売り場名?"))</f>
        <v/>
      </c>
      <c r="F49" s="18">
        <f>IF(ISNUMBER($E49),IF(VLOOKUP($B49,設定!$A$6:$G$10,5,FALSE)="切り上げ",ROUNDUP(ROUND(($D49-$E49)*VLOOKUP($B49,設定!$A$6:$G$10,3,FALSE),6),0),ROUNDDOWN(ROUND(($D49-$E49)*VLOOKUP($B49,設定!$A$6:$G$10,3,FALSE),6),0)),"")</f>
        <v/>
      </c>
      <c r="G49" s="18">
        <f>IF(ISNUMBER($E49),VLOOKUP($B49,設定!$A$6:$G$10,4,FALSE),"")</f>
        <v/>
      </c>
      <c r="H49" s="18">
        <f>IF(ISNUMBER($E49),$E49+$F49+$G49,"")</f>
        <v/>
      </c>
      <c r="I49" s="22">
        <f>IF(ISNUMBER($H49),$D49-$H49,IF(AND($D49&lt;&gt;"",$B49=""),"←売り場を選ぶ",""))</f>
        <v/>
      </c>
      <c r="J49" s="20" t="n"/>
    </row>
    <row r="50">
      <c r="A50" s="19" t="n"/>
      <c r="B50" s="13" t="n"/>
      <c r="C50" s="20" t="n"/>
      <c r="D50" s="21" t="n"/>
      <c r="E50" s="18">
        <f>IF(OR($B50="",$D50=""),"",IFERROR(IF(VLOOKUP($B50,設定!$A$6:$G$10,5,FALSE)="切り上げ",ROUNDUP(ROUND($D50*VLOOKUP($B50,設定!$A$6:$G$10,2,FALSE),6),0),ROUNDDOWN(ROUND($D50*VLOOKUP($B50,設定!$A$6:$G$10,2,FALSE),6),0)),"売り場名?"))</f>
        <v/>
      </c>
      <c r="F50" s="18">
        <f>IF(ISNUMBER($E50),IF(VLOOKUP($B50,設定!$A$6:$G$10,5,FALSE)="切り上げ",ROUNDUP(ROUND(($D50-$E50)*VLOOKUP($B50,設定!$A$6:$G$10,3,FALSE),6),0),ROUNDDOWN(ROUND(($D50-$E50)*VLOOKUP($B50,設定!$A$6:$G$10,3,FALSE),6),0)),"")</f>
        <v/>
      </c>
      <c r="G50" s="18">
        <f>IF(ISNUMBER($E50),VLOOKUP($B50,設定!$A$6:$G$10,4,FALSE),"")</f>
        <v/>
      </c>
      <c r="H50" s="18">
        <f>IF(ISNUMBER($E50),$E50+$F50+$G50,"")</f>
        <v/>
      </c>
      <c r="I50" s="22">
        <f>IF(ISNUMBER($H50),$D50-$H50,IF(AND($D50&lt;&gt;"",$B50=""),"←売り場を選ぶ",""))</f>
        <v/>
      </c>
      <c r="J50" s="20" t="n"/>
    </row>
    <row r="51">
      <c r="A51" s="19" t="n"/>
      <c r="B51" s="13" t="n"/>
      <c r="C51" s="20" t="n"/>
      <c r="D51" s="21" t="n"/>
      <c r="E51" s="18">
        <f>IF(OR($B51="",$D51=""),"",IFERROR(IF(VLOOKUP($B51,設定!$A$6:$G$10,5,FALSE)="切り上げ",ROUNDUP(ROUND($D51*VLOOKUP($B51,設定!$A$6:$G$10,2,FALSE),6),0),ROUNDDOWN(ROUND($D51*VLOOKUP($B51,設定!$A$6:$G$10,2,FALSE),6),0)),"売り場名?"))</f>
        <v/>
      </c>
      <c r="F51" s="18">
        <f>IF(ISNUMBER($E51),IF(VLOOKUP($B51,設定!$A$6:$G$10,5,FALSE)="切り上げ",ROUNDUP(ROUND(($D51-$E51)*VLOOKUP($B51,設定!$A$6:$G$10,3,FALSE),6),0),ROUNDDOWN(ROUND(($D51-$E51)*VLOOKUP($B51,設定!$A$6:$G$10,3,FALSE),6),0)),"")</f>
        <v/>
      </c>
      <c r="G51" s="18">
        <f>IF(ISNUMBER($E51),VLOOKUP($B51,設定!$A$6:$G$10,4,FALSE),"")</f>
        <v/>
      </c>
      <c r="H51" s="18">
        <f>IF(ISNUMBER($E51),$E51+$F51+$G51,"")</f>
        <v/>
      </c>
      <c r="I51" s="22">
        <f>IF(ISNUMBER($H51),$D51-$H51,IF(AND($D51&lt;&gt;"",$B51=""),"←売り場を選ぶ",""))</f>
        <v/>
      </c>
      <c r="J51" s="20" t="n"/>
    </row>
    <row r="52">
      <c r="A52" s="19" t="n"/>
      <c r="B52" s="13" t="n"/>
      <c r="C52" s="20" t="n"/>
      <c r="D52" s="21" t="n"/>
      <c r="E52" s="18">
        <f>IF(OR($B52="",$D52=""),"",IFERROR(IF(VLOOKUP($B52,設定!$A$6:$G$10,5,FALSE)="切り上げ",ROUNDUP(ROUND($D52*VLOOKUP($B52,設定!$A$6:$G$10,2,FALSE),6),0),ROUNDDOWN(ROUND($D52*VLOOKUP($B52,設定!$A$6:$G$10,2,FALSE),6),0)),"売り場名?"))</f>
        <v/>
      </c>
      <c r="F52" s="18">
        <f>IF(ISNUMBER($E52),IF(VLOOKUP($B52,設定!$A$6:$G$10,5,FALSE)="切り上げ",ROUNDUP(ROUND(($D52-$E52)*VLOOKUP($B52,設定!$A$6:$G$10,3,FALSE),6),0),ROUNDDOWN(ROUND(($D52-$E52)*VLOOKUP($B52,設定!$A$6:$G$10,3,FALSE),6),0)),"")</f>
        <v/>
      </c>
      <c r="G52" s="18">
        <f>IF(ISNUMBER($E52),VLOOKUP($B52,設定!$A$6:$G$10,4,FALSE),"")</f>
        <v/>
      </c>
      <c r="H52" s="18">
        <f>IF(ISNUMBER($E52),$E52+$F52+$G52,"")</f>
        <v/>
      </c>
      <c r="I52" s="22">
        <f>IF(ISNUMBER($H52),$D52-$H52,IF(AND($D52&lt;&gt;"",$B52=""),"←売り場を選ぶ",""))</f>
        <v/>
      </c>
      <c r="J52" s="20" t="n"/>
    </row>
    <row r="53">
      <c r="A53" s="19" t="n"/>
      <c r="B53" s="13" t="n"/>
      <c r="C53" s="20" t="n"/>
      <c r="D53" s="21" t="n"/>
      <c r="E53" s="18">
        <f>IF(OR($B53="",$D53=""),"",IFERROR(IF(VLOOKUP($B53,設定!$A$6:$G$10,5,FALSE)="切り上げ",ROUNDUP(ROUND($D53*VLOOKUP($B53,設定!$A$6:$G$10,2,FALSE),6),0),ROUNDDOWN(ROUND($D53*VLOOKUP($B53,設定!$A$6:$G$10,2,FALSE),6),0)),"売り場名?"))</f>
        <v/>
      </c>
      <c r="F53" s="18">
        <f>IF(ISNUMBER($E53),IF(VLOOKUP($B53,設定!$A$6:$G$10,5,FALSE)="切り上げ",ROUNDUP(ROUND(($D53-$E53)*VLOOKUP($B53,設定!$A$6:$G$10,3,FALSE),6),0),ROUNDDOWN(ROUND(($D53-$E53)*VLOOKUP($B53,設定!$A$6:$G$10,3,FALSE),6),0)),"")</f>
        <v/>
      </c>
      <c r="G53" s="18">
        <f>IF(ISNUMBER($E53),VLOOKUP($B53,設定!$A$6:$G$10,4,FALSE),"")</f>
        <v/>
      </c>
      <c r="H53" s="18">
        <f>IF(ISNUMBER($E53),$E53+$F53+$G53,"")</f>
        <v/>
      </c>
      <c r="I53" s="22">
        <f>IF(ISNUMBER($H53),$D53-$H53,IF(AND($D53&lt;&gt;"",$B53=""),"←売り場を選ぶ",""))</f>
        <v/>
      </c>
      <c r="J53" s="20" t="n"/>
    </row>
    <row r="54">
      <c r="A54" s="19" t="n"/>
      <c r="B54" s="13" t="n"/>
      <c r="C54" s="20" t="n"/>
      <c r="D54" s="21" t="n"/>
      <c r="E54" s="18">
        <f>IF(OR($B54="",$D54=""),"",IFERROR(IF(VLOOKUP($B54,設定!$A$6:$G$10,5,FALSE)="切り上げ",ROUNDUP(ROUND($D54*VLOOKUP($B54,設定!$A$6:$G$10,2,FALSE),6),0),ROUNDDOWN(ROUND($D54*VLOOKUP($B54,設定!$A$6:$G$10,2,FALSE),6),0)),"売り場名?"))</f>
        <v/>
      </c>
      <c r="F54" s="18">
        <f>IF(ISNUMBER($E54),IF(VLOOKUP($B54,設定!$A$6:$G$10,5,FALSE)="切り上げ",ROUNDUP(ROUND(($D54-$E54)*VLOOKUP($B54,設定!$A$6:$G$10,3,FALSE),6),0),ROUNDDOWN(ROUND(($D54-$E54)*VLOOKUP($B54,設定!$A$6:$G$10,3,FALSE),6),0)),"")</f>
        <v/>
      </c>
      <c r="G54" s="18">
        <f>IF(ISNUMBER($E54),VLOOKUP($B54,設定!$A$6:$G$10,4,FALSE),"")</f>
        <v/>
      </c>
      <c r="H54" s="18">
        <f>IF(ISNUMBER($E54),$E54+$F54+$G54,"")</f>
        <v/>
      </c>
      <c r="I54" s="22">
        <f>IF(ISNUMBER($H54),$D54-$H54,IF(AND($D54&lt;&gt;"",$B54=""),"←売り場を選ぶ",""))</f>
        <v/>
      </c>
      <c r="J54" s="20" t="n"/>
    </row>
    <row r="55">
      <c r="A55" s="19" t="n"/>
      <c r="B55" s="13" t="n"/>
      <c r="C55" s="20" t="n"/>
      <c r="D55" s="21" t="n"/>
      <c r="E55" s="18">
        <f>IF(OR($B55="",$D55=""),"",IFERROR(IF(VLOOKUP($B55,設定!$A$6:$G$10,5,FALSE)="切り上げ",ROUNDUP(ROUND($D55*VLOOKUP($B55,設定!$A$6:$G$10,2,FALSE),6),0),ROUNDDOWN(ROUND($D55*VLOOKUP($B55,設定!$A$6:$G$10,2,FALSE),6),0)),"売り場名?"))</f>
        <v/>
      </c>
      <c r="F55" s="18">
        <f>IF(ISNUMBER($E55),IF(VLOOKUP($B55,設定!$A$6:$G$10,5,FALSE)="切り上げ",ROUNDUP(ROUND(($D55-$E55)*VLOOKUP($B55,設定!$A$6:$G$10,3,FALSE),6),0),ROUNDDOWN(ROUND(($D55-$E55)*VLOOKUP($B55,設定!$A$6:$G$10,3,FALSE),6),0)),"")</f>
        <v/>
      </c>
      <c r="G55" s="18">
        <f>IF(ISNUMBER($E55),VLOOKUP($B55,設定!$A$6:$G$10,4,FALSE),"")</f>
        <v/>
      </c>
      <c r="H55" s="18">
        <f>IF(ISNUMBER($E55),$E55+$F55+$G55,"")</f>
        <v/>
      </c>
      <c r="I55" s="22">
        <f>IF(ISNUMBER($H55),$D55-$H55,IF(AND($D55&lt;&gt;"",$B55=""),"←売り場を選ぶ",""))</f>
        <v/>
      </c>
      <c r="J55" s="20" t="n"/>
    </row>
    <row r="56">
      <c r="A56" s="19" t="n"/>
      <c r="B56" s="13" t="n"/>
      <c r="C56" s="20" t="n"/>
      <c r="D56" s="21" t="n"/>
      <c r="E56" s="18">
        <f>IF(OR($B56="",$D56=""),"",IFERROR(IF(VLOOKUP($B56,設定!$A$6:$G$10,5,FALSE)="切り上げ",ROUNDUP(ROUND($D56*VLOOKUP($B56,設定!$A$6:$G$10,2,FALSE),6),0),ROUNDDOWN(ROUND($D56*VLOOKUP($B56,設定!$A$6:$G$10,2,FALSE),6),0)),"売り場名?"))</f>
        <v/>
      </c>
      <c r="F56" s="18">
        <f>IF(ISNUMBER($E56),IF(VLOOKUP($B56,設定!$A$6:$G$10,5,FALSE)="切り上げ",ROUNDUP(ROUND(($D56-$E56)*VLOOKUP($B56,設定!$A$6:$G$10,3,FALSE),6),0),ROUNDDOWN(ROUND(($D56-$E56)*VLOOKUP($B56,設定!$A$6:$G$10,3,FALSE),6),0)),"")</f>
        <v/>
      </c>
      <c r="G56" s="18">
        <f>IF(ISNUMBER($E56),VLOOKUP($B56,設定!$A$6:$G$10,4,FALSE),"")</f>
        <v/>
      </c>
      <c r="H56" s="18">
        <f>IF(ISNUMBER($E56),$E56+$F56+$G56,"")</f>
        <v/>
      </c>
      <c r="I56" s="22">
        <f>IF(ISNUMBER($H56),$D56-$H56,IF(AND($D56&lt;&gt;"",$B56=""),"←売り場を選ぶ",""))</f>
        <v/>
      </c>
      <c r="J56" s="20" t="n"/>
    </row>
    <row r="57">
      <c r="A57" s="19" t="n"/>
      <c r="B57" s="13" t="n"/>
      <c r="C57" s="20" t="n"/>
      <c r="D57" s="21" t="n"/>
      <c r="E57" s="18">
        <f>IF(OR($B57="",$D57=""),"",IFERROR(IF(VLOOKUP($B57,設定!$A$6:$G$10,5,FALSE)="切り上げ",ROUNDUP(ROUND($D57*VLOOKUP($B57,設定!$A$6:$G$10,2,FALSE),6),0),ROUNDDOWN(ROUND($D57*VLOOKUP($B57,設定!$A$6:$G$10,2,FALSE),6),0)),"売り場名?"))</f>
        <v/>
      </c>
      <c r="F57" s="18">
        <f>IF(ISNUMBER($E57),IF(VLOOKUP($B57,設定!$A$6:$G$10,5,FALSE)="切り上げ",ROUNDUP(ROUND(($D57-$E57)*VLOOKUP($B57,設定!$A$6:$G$10,3,FALSE),6),0),ROUNDDOWN(ROUND(($D57-$E57)*VLOOKUP($B57,設定!$A$6:$G$10,3,FALSE),6),0)),"")</f>
        <v/>
      </c>
      <c r="G57" s="18">
        <f>IF(ISNUMBER($E57),VLOOKUP($B57,設定!$A$6:$G$10,4,FALSE),"")</f>
        <v/>
      </c>
      <c r="H57" s="18">
        <f>IF(ISNUMBER($E57),$E57+$F57+$G57,"")</f>
        <v/>
      </c>
      <c r="I57" s="22">
        <f>IF(ISNUMBER($H57),$D57-$H57,IF(AND($D57&lt;&gt;"",$B57=""),"←売り場を選ぶ",""))</f>
        <v/>
      </c>
      <c r="J57" s="20" t="n"/>
    </row>
    <row r="58">
      <c r="A58" s="19" t="n"/>
      <c r="B58" s="13" t="n"/>
      <c r="C58" s="20" t="n"/>
      <c r="D58" s="21" t="n"/>
      <c r="E58" s="18">
        <f>IF(OR($B58="",$D58=""),"",IFERROR(IF(VLOOKUP($B58,設定!$A$6:$G$10,5,FALSE)="切り上げ",ROUNDUP(ROUND($D58*VLOOKUP($B58,設定!$A$6:$G$10,2,FALSE),6),0),ROUNDDOWN(ROUND($D58*VLOOKUP($B58,設定!$A$6:$G$10,2,FALSE),6),0)),"売り場名?"))</f>
        <v/>
      </c>
      <c r="F58" s="18">
        <f>IF(ISNUMBER($E58),IF(VLOOKUP($B58,設定!$A$6:$G$10,5,FALSE)="切り上げ",ROUNDUP(ROUND(($D58-$E58)*VLOOKUP($B58,設定!$A$6:$G$10,3,FALSE),6),0),ROUNDDOWN(ROUND(($D58-$E58)*VLOOKUP($B58,設定!$A$6:$G$10,3,FALSE),6),0)),"")</f>
        <v/>
      </c>
      <c r="G58" s="18">
        <f>IF(ISNUMBER($E58),VLOOKUP($B58,設定!$A$6:$G$10,4,FALSE),"")</f>
        <v/>
      </c>
      <c r="H58" s="18">
        <f>IF(ISNUMBER($E58),$E58+$F58+$G58,"")</f>
        <v/>
      </c>
      <c r="I58" s="22">
        <f>IF(ISNUMBER($H58),$D58-$H58,IF(AND($D58&lt;&gt;"",$B58=""),"←売り場を選ぶ",""))</f>
        <v/>
      </c>
      <c r="J58" s="20" t="n"/>
    </row>
    <row r="59">
      <c r="A59" s="19" t="n"/>
      <c r="B59" s="13" t="n"/>
      <c r="C59" s="20" t="n"/>
      <c r="D59" s="21" t="n"/>
      <c r="E59" s="18">
        <f>IF(OR($B59="",$D59=""),"",IFERROR(IF(VLOOKUP($B59,設定!$A$6:$G$10,5,FALSE)="切り上げ",ROUNDUP(ROUND($D59*VLOOKUP($B59,設定!$A$6:$G$10,2,FALSE),6),0),ROUNDDOWN(ROUND($D59*VLOOKUP($B59,設定!$A$6:$G$10,2,FALSE),6),0)),"売り場名?"))</f>
        <v/>
      </c>
      <c r="F59" s="18">
        <f>IF(ISNUMBER($E59),IF(VLOOKUP($B59,設定!$A$6:$G$10,5,FALSE)="切り上げ",ROUNDUP(ROUND(($D59-$E59)*VLOOKUP($B59,設定!$A$6:$G$10,3,FALSE),6),0),ROUNDDOWN(ROUND(($D59-$E59)*VLOOKUP($B59,設定!$A$6:$G$10,3,FALSE),6),0)),"")</f>
        <v/>
      </c>
      <c r="G59" s="18">
        <f>IF(ISNUMBER($E59),VLOOKUP($B59,設定!$A$6:$G$10,4,FALSE),"")</f>
        <v/>
      </c>
      <c r="H59" s="18">
        <f>IF(ISNUMBER($E59),$E59+$F59+$G59,"")</f>
        <v/>
      </c>
      <c r="I59" s="22">
        <f>IF(ISNUMBER($H59),$D59-$H59,IF(AND($D59&lt;&gt;"",$B59=""),"←売り場を選ぶ",""))</f>
        <v/>
      </c>
      <c r="J59" s="20" t="n"/>
    </row>
    <row r="60">
      <c r="A60" s="19" t="n"/>
      <c r="B60" s="13" t="n"/>
      <c r="C60" s="20" t="n"/>
      <c r="D60" s="21" t="n"/>
      <c r="E60" s="18">
        <f>IF(OR($B60="",$D60=""),"",IFERROR(IF(VLOOKUP($B60,設定!$A$6:$G$10,5,FALSE)="切り上げ",ROUNDUP(ROUND($D60*VLOOKUP($B60,設定!$A$6:$G$10,2,FALSE),6),0),ROUNDDOWN(ROUND($D60*VLOOKUP($B60,設定!$A$6:$G$10,2,FALSE),6),0)),"売り場名?"))</f>
        <v/>
      </c>
      <c r="F60" s="18">
        <f>IF(ISNUMBER($E60),IF(VLOOKUP($B60,設定!$A$6:$G$10,5,FALSE)="切り上げ",ROUNDUP(ROUND(($D60-$E60)*VLOOKUP($B60,設定!$A$6:$G$10,3,FALSE),6),0),ROUNDDOWN(ROUND(($D60-$E60)*VLOOKUP($B60,設定!$A$6:$G$10,3,FALSE),6),0)),"")</f>
        <v/>
      </c>
      <c r="G60" s="18">
        <f>IF(ISNUMBER($E60),VLOOKUP($B60,設定!$A$6:$G$10,4,FALSE),"")</f>
        <v/>
      </c>
      <c r="H60" s="18">
        <f>IF(ISNUMBER($E60),$E60+$F60+$G60,"")</f>
        <v/>
      </c>
      <c r="I60" s="22">
        <f>IF(ISNUMBER($H60),$D60-$H60,IF(AND($D60&lt;&gt;"",$B60=""),"←売り場を選ぶ",""))</f>
        <v/>
      </c>
      <c r="J60" s="20" t="n"/>
    </row>
    <row r="61">
      <c r="A61" s="19" t="n"/>
      <c r="B61" s="13" t="n"/>
      <c r="C61" s="20" t="n"/>
      <c r="D61" s="21" t="n"/>
      <c r="E61" s="18">
        <f>IF(OR($B61="",$D61=""),"",IFERROR(IF(VLOOKUP($B61,設定!$A$6:$G$10,5,FALSE)="切り上げ",ROUNDUP(ROUND($D61*VLOOKUP($B61,設定!$A$6:$G$10,2,FALSE),6),0),ROUNDDOWN(ROUND($D61*VLOOKUP($B61,設定!$A$6:$G$10,2,FALSE),6),0)),"売り場名?"))</f>
        <v/>
      </c>
      <c r="F61" s="18">
        <f>IF(ISNUMBER($E61),IF(VLOOKUP($B61,設定!$A$6:$G$10,5,FALSE)="切り上げ",ROUNDUP(ROUND(($D61-$E61)*VLOOKUP($B61,設定!$A$6:$G$10,3,FALSE),6),0),ROUNDDOWN(ROUND(($D61-$E61)*VLOOKUP($B61,設定!$A$6:$G$10,3,FALSE),6),0)),"")</f>
        <v/>
      </c>
      <c r="G61" s="18">
        <f>IF(ISNUMBER($E61),VLOOKUP($B61,設定!$A$6:$G$10,4,FALSE),"")</f>
        <v/>
      </c>
      <c r="H61" s="18">
        <f>IF(ISNUMBER($E61),$E61+$F61+$G61,"")</f>
        <v/>
      </c>
      <c r="I61" s="22">
        <f>IF(ISNUMBER($H61),$D61-$H61,IF(AND($D61&lt;&gt;"",$B61=""),"←売り場を選ぶ",""))</f>
        <v/>
      </c>
      <c r="J61" s="20" t="n"/>
    </row>
    <row r="62">
      <c r="A62" s="19" t="n"/>
      <c r="B62" s="13" t="n"/>
      <c r="C62" s="20" t="n"/>
      <c r="D62" s="21" t="n"/>
      <c r="E62" s="18">
        <f>IF(OR($B62="",$D62=""),"",IFERROR(IF(VLOOKUP($B62,設定!$A$6:$G$10,5,FALSE)="切り上げ",ROUNDUP(ROUND($D62*VLOOKUP($B62,設定!$A$6:$G$10,2,FALSE),6),0),ROUNDDOWN(ROUND($D62*VLOOKUP($B62,設定!$A$6:$G$10,2,FALSE),6),0)),"売り場名?"))</f>
        <v/>
      </c>
      <c r="F62" s="18">
        <f>IF(ISNUMBER($E62),IF(VLOOKUP($B62,設定!$A$6:$G$10,5,FALSE)="切り上げ",ROUNDUP(ROUND(($D62-$E62)*VLOOKUP($B62,設定!$A$6:$G$10,3,FALSE),6),0),ROUNDDOWN(ROUND(($D62-$E62)*VLOOKUP($B62,設定!$A$6:$G$10,3,FALSE),6),0)),"")</f>
        <v/>
      </c>
      <c r="G62" s="18">
        <f>IF(ISNUMBER($E62),VLOOKUP($B62,設定!$A$6:$G$10,4,FALSE),"")</f>
        <v/>
      </c>
      <c r="H62" s="18">
        <f>IF(ISNUMBER($E62),$E62+$F62+$G62,"")</f>
        <v/>
      </c>
      <c r="I62" s="22">
        <f>IF(ISNUMBER($H62),$D62-$H62,IF(AND($D62&lt;&gt;"",$B62=""),"←売り場を選ぶ",""))</f>
        <v/>
      </c>
      <c r="J62" s="20" t="n"/>
    </row>
    <row r="63">
      <c r="A63" s="19" t="n"/>
      <c r="B63" s="13" t="n"/>
      <c r="C63" s="20" t="n"/>
      <c r="D63" s="21" t="n"/>
      <c r="E63" s="18">
        <f>IF(OR($B63="",$D63=""),"",IFERROR(IF(VLOOKUP($B63,設定!$A$6:$G$10,5,FALSE)="切り上げ",ROUNDUP(ROUND($D63*VLOOKUP($B63,設定!$A$6:$G$10,2,FALSE),6),0),ROUNDDOWN(ROUND($D63*VLOOKUP($B63,設定!$A$6:$G$10,2,FALSE),6),0)),"売り場名?"))</f>
        <v/>
      </c>
      <c r="F63" s="18">
        <f>IF(ISNUMBER($E63),IF(VLOOKUP($B63,設定!$A$6:$G$10,5,FALSE)="切り上げ",ROUNDUP(ROUND(($D63-$E63)*VLOOKUP($B63,設定!$A$6:$G$10,3,FALSE),6),0),ROUNDDOWN(ROUND(($D63-$E63)*VLOOKUP($B63,設定!$A$6:$G$10,3,FALSE),6),0)),"")</f>
        <v/>
      </c>
      <c r="G63" s="18">
        <f>IF(ISNUMBER($E63),VLOOKUP($B63,設定!$A$6:$G$10,4,FALSE),"")</f>
        <v/>
      </c>
      <c r="H63" s="18">
        <f>IF(ISNUMBER($E63),$E63+$F63+$G63,"")</f>
        <v/>
      </c>
      <c r="I63" s="22">
        <f>IF(ISNUMBER($H63),$D63-$H63,IF(AND($D63&lt;&gt;"",$B63=""),"←売り場を選ぶ",""))</f>
        <v/>
      </c>
      <c r="J63" s="20" t="n"/>
    </row>
    <row r="64">
      <c r="A64" s="19" t="n"/>
      <c r="B64" s="13" t="n"/>
      <c r="C64" s="20" t="n"/>
      <c r="D64" s="21" t="n"/>
      <c r="E64" s="18">
        <f>IF(OR($B64="",$D64=""),"",IFERROR(IF(VLOOKUP($B64,設定!$A$6:$G$10,5,FALSE)="切り上げ",ROUNDUP(ROUND($D64*VLOOKUP($B64,設定!$A$6:$G$10,2,FALSE),6),0),ROUNDDOWN(ROUND($D64*VLOOKUP($B64,設定!$A$6:$G$10,2,FALSE),6),0)),"売り場名?"))</f>
        <v/>
      </c>
      <c r="F64" s="18">
        <f>IF(ISNUMBER($E64),IF(VLOOKUP($B64,設定!$A$6:$G$10,5,FALSE)="切り上げ",ROUNDUP(ROUND(($D64-$E64)*VLOOKUP($B64,設定!$A$6:$G$10,3,FALSE),6),0),ROUNDDOWN(ROUND(($D64-$E64)*VLOOKUP($B64,設定!$A$6:$G$10,3,FALSE),6),0)),"")</f>
        <v/>
      </c>
      <c r="G64" s="18">
        <f>IF(ISNUMBER($E64),VLOOKUP($B64,設定!$A$6:$G$10,4,FALSE),"")</f>
        <v/>
      </c>
      <c r="H64" s="18">
        <f>IF(ISNUMBER($E64),$E64+$F64+$G64,"")</f>
        <v/>
      </c>
      <c r="I64" s="22">
        <f>IF(ISNUMBER($H64),$D64-$H64,IF(AND($D64&lt;&gt;"",$B64=""),"←売り場を選ぶ",""))</f>
        <v/>
      </c>
      <c r="J64" s="20" t="n"/>
    </row>
    <row r="65">
      <c r="A65" s="19" t="n"/>
      <c r="B65" s="13" t="n"/>
      <c r="C65" s="20" t="n"/>
      <c r="D65" s="21" t="n"/>
      <c r="E65" s="18">
        <f>IF(OR($B65="",$D65=""),"",IFERROR(IF(VLOOKUP($B65,設定!$A$6:$G$10,5,FALSE)="切り上げ",ROUNDUP(ROUND($D65*VLOOKUP($B65,設定!$A$6:$G$10,2,FALSE),6),0),ROUNDDOWN(ROUND($D65*VLOOKUP($B65,設定!$A$6:$G$10,2,FALSE),6),0)),"売り場名?"))</f>
        <v/>
      </c>
      <c r="F65" s="18">
        <f>IF(ISNUMBER($E65),IF(VLOOKUP($B65,設定!$A$6:$G$10,5,FALSE)="切り上げ",ROUNDUP(ROUND(($D65-$E65)*VLOOKUP($B65,設定!$A$6:$G$10,3,FALSE),6),0),ROUNDDOWN(ROUND(($D65-$E65)*VLOOKUP($B65,設定!$A$6:$G$10,3,FALSE),6),0)),"")</f>
        <v/>
      </c>
      <c r="G65" s="18">
        <f>IF(ISNUMBER($E65),VLOOKUP($B65,設定!$A$6:$G$10,4,FALSE),"")</f>
        <v/>
      </c>
      <c r="H65" s="18">
        <f>IF(ISNUMBER($E65),$E65+$F65+$G65,"")</f>
        <v/>
      </c>
      <c r="I65" s="22">
        <f>IF(ISNUMBER($H65),$D65-$H65,IF(AND($D65&lt;&gt;"",$B65=""),"←売り場を選ぶ",""))</f>
        <v/>
      </c>
      <c r="J65" s="20" t="n"/>
    </row>
    <row r="66">
      <c r="A66" s="19" t="n"/>
      <c r="B66" s="13" t="n"/>
      <c r="C66" s="20" t="n"/>
      <c r="D66" s="21" t="n"/>
      <c r="E66" s="18">
        <f>IF(OR($B66="",$D66=""),"",IFERROR(IF(VLOOKUP($B66,設定!$A$6:$G$10,5,FALSE)="切り上げ",ROUNDUP(ROUND($D66*VLOOKUP($B66,設定!$A$6:$G$10,2,FALSE),6),0),ROUNDDOWN(ROUND($D66*VLOOKUP($B66,設定!$A$6:$G$10,2,FALSE),6),0)),"売り場名?"))</f>
        <v/>
      </c>
      <c r="F66" s="18">
        <f>IF(ISNUMBER($E66),IF(VLOOKUP($B66,設定!$A$6:$G$10,5,FALSE)="切り上げ",ROUNDUP(ROUND(($D66-$E66)*VLOOKUP($B66,設定!$A$6:$G$10,3,FALSE),6),0),ROUNDDOWN(ROUND(($D66-$E66)*VLOOKUP($B66,設定!$A$6:$G$10,3,FALSE),6),0)),"")</f>
        <v/>
      </c>
      <c r="G66" s="18">
        <f>IF(ISNUMBER($E66),VLOOKUP($B66,設定!$A$6:$G$10,4,FALSE),"")</f>
        <v/>
      </c>
      <c r="H66" s="18">
        <f>IF(ISNUMBER($E66),$E66+$F66+$G66,"")</f>
        <v/>
      </c>
      <c r="I66" s="22">
        <f>IF(ISNUMBER($H66),$D66-$H66,IF(AND($D66&lt;&gt;"",$B66=""),"←売り場を選ぶ",""))</f>
        <v/>
      </c>
      <c r="J66" s="20" t="n"/>
    </row>
    <row r="67">
      <c r="A67" s="19" t="n"/>
      <c r="B67" s="13" t="n"/>
      <c r="C67" s="20" t="n"/>
      <c r="D67" s="21" t="n"/>
      <c r="E67" s="18">
        <f>IF(OR($B67="",$D67=""),"",IFERROR(IF(VLOOKUP($B67,設定!$A$6:$G$10,5,FALSE)="切り上げ",ROUNDUP(ROUND($D67*VLOOKUP($B67,設定!$A$6:$G$10,2,FALSE),6),0),ROUNDDOWN(ROUND($D67*VLOOKUP($B67,設定!$A$6:$G$10,2,FALSE),6),0)),"売り場名?"))</f>
        <v/>
      </c>
      <c r="F67" s="18">
        <f>IF(ISNUMBER($E67),IF(VLOOKUP($B67,設定!$A$6:$G$10,5,FALSE)="切り上げ",ROUNDUP(ROUND(($D67-$E67)*VLOOKUP($B67,設定!$A$6:$G$10,3,FALSE),6),0),ROUNDDOWN(ROUND(($D67-$E67)*VLOOKUP($B67,設定!$A$6:$G$10,3,FALSE),6),0)),"")</f>
        <v/>
      </c>
      <c r="G67" s="18">
        <f>IF(ISNUMBER($E67),VLOOKUP($B67,設定!$A$6:$G$10,4,FALSE),"")</f>
        <v/>
      </c>
      <c r="H67" s="18">
        <f>IF(ISNUMBER($E67),$E67+$F67+$G67,"")</f>
        <v/>
      </c>
      <c r="I67" s="22">
        <f>IF(ISNUMBER($H67),$D67-$H67,IF(AND($D67&lt;&gt;"",$B67=""),"←売り場を選ぶ",""))</f>
        <v/>
      </c>
      <c r="J67" s="20" t="n"/>
    </row>
    <row r="68">
      <c r="A68" s="19" t="n"/>
      <c r="B68" s="13" t="n"/>
      <c r="C68" s="20" t="n"/>
      <c r="D68" s="21" t="n"/>
      <c r="E68" s="18">
        <f>IF(OR($B68="",$D68=""),"",IFERROR(IF(VLOOKUP($B68,設定!$A$6:$G$10,5,FALSE)="切り上げ",ROUNDUP(ROUND($D68*VLOOKUP($B68,設定!$A$6:$G$10,2,FALSE),6),0),ROUNDDOWN(ROUND($D68*VLOOKUP($B68,設定!$A$6:$G$10,2,FALSE),6),0)),"売り場名?"))</f>
        <v/>
      </c>
      <c r="F68" s="18">
        <f>IF(ISNUMBER($E68),IF(VLOOKUP($B68,設定!$A$6:$G$10,5,FALSE)="切り上げ",ROUNDUP(ROUND(($D68-$E68)*VLOOKUP($B68,設定!$A$6:$G$10,3,FALSE),6),0),ROUNDDOWN(ROUND(($D68-$E68)*VLOOKUP($B68,設定!$A$6:$G$10,3,FALSE),6),0)),"")</f>
        <v/>
      </c>
      <c r="G68" s="18">
        <f>IF(ISNUMBER($E68),VLOOKUP($B68,設定!$A$6:$G$10,4,FALSE),"")</f>
        <v/>
      </c>
      <c r="H68" s="18">
        <f>IF(ISNUMBER($E68),$E68+$F68+$G68,"")</f>
        <v/>
      </c>
      <c r="I68" s="22">
        <f>IF(ISNUMBER($H68),$D68-$H68,IF(AND($D68&lt;&gt;"",$B68=""),"←売り場を選ぶ",""))</f>
        <v/>
      </c>
      <c r="J68" s="20" t="n"/>
    </row>
    <row r="69">
      <c r="A69" s="19" t="n"/>
      <c r="B69" s="13" t="n"/>
      <c r="C69" s="20" t="n"/>
      <c r="D69" s="21" t="n"/>
      <c r="E69" s="18">
        <f>IF(OR($B69="",$D69=""),"",IFERROR(IF(VLOOKUP($B69,設定!$A$6:$G$10,5,FALSE)="切り上げ",ROUNDUP(ROUND($D69*VLOOKUP($B69,設定!$A$6:$G$10,2,FALSE),6),0),ROUNDDOWN(ROUND($D69*VLOOKUP($B69,設定!$A$6:$G$10,2,FALSE),6),0)),"売り場名?"))</f>
        <v/>
      </c>
      <c r="F69" s="18">
        <f>IF(ISNUMBER($E69),IF(VLOOKUP($B69,設定!$A$6:$G$10,5,FALSE)="切り上げ",ROUNDUP(ROUND(($D69-$E69)*VLOOKUP($B69,設定!$A$6:$G$10,3,FALSE),6),0),ROUNDDOWN(ROUND(($D69-$E69)*VLOOKUP($B69,設定!$A$6:$G$10,3,FALSE),6),0)),"")</f>
        <v/>
      </c>
      <c r="G69" s="18">
        <f>IF(ISNUMBER($E69),VLOOKUP($B69,設定!$A$6:$G$10,4,FALSE),"")</f>
        <v/>
      </c>
      <c r="H69" s="18">
        <f>IF(ISNUMBER($E69),$E69+$F69+$G69,"")</f>
        <v/>
      </c>
      <c r="I69" s="22">
        <f>IF(ISNUMBER($H69),$D69-$H69,IF(AND($D69&lt;&gt;"",$B69=""),"←売り場を選ぶ",""))</f>
        <v/>
      </c>
      <c r="J69" s="20" t="n"/>
    </row>
    <row r="70">
      <c r="A70" s="19" t="n"/>
      <c r="B70" s="13" t="n"/>
      <c r="C70" s="20" t="n"/>
      <c r="D70" s="21" t="n"/>
      <c r="E70" s="18">
        <f>IF(OR($B70="",$D70=""),"",IFERROR(IF(VLOOKUP($B70,設定!$A$6:$G$10,5,FALSE)="切り上げ",ROUNDUP(ROUND($D70*VLOOKUP($B70,設定!$A$6:$G$10,2,FALSE),6),0),ROUNDDOWN(ROUND($D70*VLOOKUP($B70,設定!$A$6:$G$10,2,FALSE),6),0)),"売り場名?"))</f>
        <v/>
      </c>
      <c r="F70" s="18">
        <f>IF(ISNUMBER($E70),IF(VLOOKUP($B70,設定!$A$6:$G$10,5,FALSE)="切り上げ",ROUNDUP(ROUND(($D70-$E70)*VLOOKUP($B70,設定!$A$6:$G$10,3,FALSE),6),0),ROUNDDOWN(ROUND(($D70-$E70)*VLOOKUP($B70,設定!$A$6:$G$10,3,FALSE),6),0)),"")</f>
        <v/>
      </c>
      <c r="G70" s="18">
        <f>IF(ISNUMBER($E70),VLOOKUP($B70,設定!$A$6:$G$10,4,FALSE),"")</f>
        <v/>
      </c>
      <c r="H70" s="18">
        <f>IF(ISNUMBER($E70),$E70+$F70+$G70,"")</f>
        <v/>
      </c>
      <c r="I70" s="22">
        <f>IF(ISNUMBER($H70),$D70-$H70,IF(AND($D70&lt;&gt;"",$B70=""),"←売り場を選ぶ",""))</f>
        <v/>
      </c>
      <c r="J70" s="20" t="n"/>
    </row>
    <row r="71">
      <c r="A71" s="19" t="n"/>
      <c r="B71" s="13" t="n"/>
      <c r="C71" s="20" t="n"/>
      <c r="D71" s="21" t="n"/>
      <c r="E71" s="18">
        <f>IF(OR($B71="",$D71=""),"",IFERROR(IF(VLOOKUP($B71,設定!$A$6:$G$10,5,FALSE)="切り上げ",ROUNDUP(ROUND($D71*VLOOKUP($B71,設定!$A$6:$G$10,2,FALSE),6),0),ROUNDDOWN(ROUND($D71*VLOOKUP($B71,設定!$A$6:$G$10,2,FALSE),6),0)),"売り場名?"))</f>
        <v/>
      </c>
      <c r="F71" s="18">
        <f>IF(ISNUMBER($E71),IF(VLOOKUP($B71,設定!$A$6:$G$10,5,FALSE)="切り上げ",ROUNDUP(ROUND(($D71-$E71)*VLOOKUP($B71,設定!$A$6:$G$10,3,FALSE),6),0),ROUNDDOWN(ROUND(($D71-$E71)*VLOOKUP($B71,設定!$A$6:$G$10,3,FALSE),6),0)),"")</f>
        <v/>
      </c>
      <c r="G71" s="18">
        <f>IF(ISNUMBER($E71),VLOOKUP($B71,設定!$A$6:$G$10,4,FALSE),"")</f>
        <v/>
      </c>
      <c r="H71" s="18">
        <f>IF(ISNUMBER($E71),$E71+$F71+$G71,"")</f>
        <v/>
      </c>
      <c r="I71" s="22">
        <f>IF(ISNUMBER($H71),$D71-$H71,IF(AND($D71&lt;&gt;"",$B71=""),"←売り場を選ぶ",""))</f>
        <v/>
      </c>
      <c r="J71" s="20" t="n"/>
    </row>
    <row r="72">
      <c r="A72" s="19" t="n"/>
      <c r="B72" s="13" t="n"/>
      <c r="C72" s="20" t="n"/>
      <c r="D72" s="21" t="n"/>
      <c r="E72" s="18">
        <f>IF(OR($B72="",$D72=""),"",IFERROR(IF(VLOOKUP($B72,設定!$A$6:$G$10,5,FALSE)="切り上げ",ROUNDUP(ROUND($D72*VLOOKUP($B72,設定!$A$6:$G$10,2,FALSE),6),0),ROUNDDOWN(ROUND($D72*VLOOKUP($B72,設定!$A$6:$G$10,2,FALSE),6),0)),"売り場名?"))</f>
        <v/>
      </c>
      <c r="F72" s="18">
        <f>IF(ISNUMBER($E72),IF(VLOOKUP($B72,設定!$A$6:$G$10,5,FALSE)="切り上げ",ROUNDUP(ROUND(($D72-$E72)*VLOOKUP($B72,設定!$A$6:$G$10,3,FALSE),6),0),ROUNDDOWN(ROUND(($D72-$E72)*VLOOKUP($B72,設定!$A$6:$G$10,3,FALSE),6),0)),"")</f>
        <v/>
      </c>
      <c r="G72" s="18">
        <f>IF(ISNUMBER($E72),VLOOKUP($B72,設定!$A$6:$G$10,4,FALSE),"")</f>
        <v/>
      </c>
      <c r="H72" s="18">
        <f>IF(ISNUMBER($E72),$E72+$F72+$G72,"")</f>
        <v/>
      </c>
      <c r="I72" s="22">
        <f>IF(ISNUMBER($H72),$D72-$H72,IF(AND($D72&lt;&gt;"",$B72=""),"←売り場を選ぶ",""))</f>
        <v/>
      </c>
      <c r="J72" s="20" t="n"/>
    </row>
    <row r="73">
      <c r="A73" s="19" t="n"/>
      <c r="B73" s="13" t="n"/>
      <c r="C73" s="20" t="n"/>
      <c r="D73" s="21" t="n"/>
      <c r="E73" s="18">
        <f>IF(OR($B73="",$D73=""),"",IFERROR(IF(VLOOKUP($B73,設定!$A$6:$G$10,5,FALSE)="切り上げ",ROUNDUP(ROUND($D73*VLOOKUP($B73,設定!$A$6:$G$10,2,FALSE),6),0),ROUNDDOWN(ROUND($D73*VLOOKUP($B73,設定!$A$6:$G$10,2,FALSE),6),0)),"売り場名?"))</f>
        <v/>
      </c>
      <c r="F73" s="18">
        <f>IF(ISNUMBER($E73),IF(VLOOKUP($B73,設定!$A$6:$G$10,5,FALSE)="切り上げ",ROUNDUP(ROUND(($D73-$E73)*VLOOKUP($B73,設定!$A$6:$G$10,3,FALSE),6),0),ROUNDDOWN(ROUND(($D73-$E73)*VLOOKUP($B73,設定!$A$6:$G$10,3,FALSE),6),0)),"")</f>
        <v/>
      </c>
      <c r="G73" s="18">
        <f>IF(ISNUMBER($E73),VLOOKUP($B73,設定!$A$6:$G$10,4,FALSE),"")</f>
        <v/>
      </c>
      <c r="H73" s="18">
        <f>IF(ISNUMBER($E73),$E73+$F73+$G73,"")</f>
        <v/>
      </c>
      <c r="I73" s="22">
        <f>IF(ISNUMBER($H73),$D73-$H73,IF(AND($D73&lt;&gt;"",$B73=""),"←売り場を選ぶ",""))</f>
        <v/>
      </c>
      <c r="J73" s="20" t="n"/>
    </row>
    <row r="74">
      <c r="A74" s="19" t="n"/>
      <c r="B74" s="13" t="n"/>
      <c r="C74" s="20" t="n"/>
      <c r="D74" s="21" t="n"/>
      <c r="E74" s="18">
        <f>IF(OR($B74="",$D74=""),"",IFERROR(IF(VLOOKUP($B74,設定!$A$6:$G$10,5,FALSE)="切り上げ",ROUNDUP(ROUND($D74*VLOOKUP($B74,設定!$A$6:$G$10,2,FALSE),6),0),ROUNDDOWN(ROUND($D74*VLOOKUP($B74,設定!$A$6:$G$10,2,FALSE),6),0)),"売り場名?"))</f>
        <v/>
      </c>
      <c r="F74" s="18">
        <f>IF(ISNUMBER($E74),IF(VLOOKUP($B74,設定!$A$6:$G$10,5,FALSE)="切り上げ",ROUNDUP(ROUND(($D74-$E74)*VLOOKUP($B74,設定!$A$6:$G$10,3,FALSE),6),0),ROUNDDOWN(ROUND(($D74-$E74)*VLOOKUP($B74,設定!$A$6:$G$10,3,FALSE),6),0)),"")</f>
        <v/>
      </c>
      <c r="G74" s="18">
        <f>IF(ISNUMBER($E74),VLOOKUP($B74,設定!$A$6:$G$10,4,FALSE),"")</f>
        <v/>
      </c>
      <c r="H74" s="18">
        <f>IF(ISNUMBER($E74),$E74+$F74+$G74,"")</f>
        <v/>
      </c>
      <c r="I74" s="22">
        <f>IF(ISNUMBER($H74),$D74-$H74,IF(AND($D74&lt;&gt;"",$B74=""),"←売り場を選ぶ",""))</f>
        <v/>
      </c>
      <c r="J74" s="20" t="n"/>
    </row>
    <row r="75">
      <c r="A75" s="19" t="n"/>
      <c r="B75" s="13" t="n"/>
      <c r="C75" s="20" t="n"/>
      <c r="D75" s="21" t="n"/>
      <c r="E75" s="18">
        <f>IF(OR($B75="",$D75=""),"",IFERROR(IF(VLOOKUP($B75,設定!$A$6:$G$10,5,FALSE)="切り上げ",ROUNDUP(ROUND($D75*VLOOKUP($B75,設定!$A$6:$G$10,2,FALSE),6),0),ROUNDDOWN(ROUND($D75*VLOOKUP($B75,設定!$A$6:$G$10,2,FALSE),6),0)),"売り場名?"))</f>
        <v/>
      </c>
      <c r="F75" s="18">
        <f>IF(ISNUMBER($E75),IF(VLOOKUP($B75,設定!$A$6:$G$10,5,FALSE)="切り上げ",ROUNDUP(ROUND(($D75-$E75)*VLOOKUP($B75,設定!$A$6:$G$10,3,FALSE),6),0),ROUNDDOWN(ROUND(($D75-$E75)*VLOOKUP($B75,設定!$A$6:$G$10,3,FALSE),6),0)),"")</f>
        <v/>
      </c>
      <c r="G75" s="18">
        <f>IF(ISNUMBER($E75),VLOOKUP($B75,設定!$A$6:$G$10,4,FALSE),"")</f>
        <v/>
      </c>
      <c r="H75" s="18">
        <f>IF(ISNUMBER($E75),$E75+$F75+$G75,"")</f>
        <v/>
      </c>
      <c r="I75" s="22">
        <f>IF(ISNUMBER($H75),$D75-$H75,IF(AND($D75&lt;&gt;"",$B75=""),"←売り場を選ぶ",""))</f>
        <v/>
      </c>
      <c r="J75" s="20" t="n"/>
    </row>
    <row r="76">
      <c r="A76" s="19" t="n"/>
      <c r="B76" s="13" t="n"/>
      <c r="C76" s="20" t="n"/>
      <c r="D76" s="21" t="n"/>
      <c r="E76" s="18">
        <f>IF(OR($B76="",$D76=""),"",IFERROR(IF(VLOOKUP($B76,設定!$A$6:$G$10,5,FALSE)="切り上げ",ROUNDUP(ROUND($D76*VLOOKUP($B76,設定!$A$6:$G$10,2,FALSE),6),0),ROUNDDOWN(ROUND($D76*VLOOKUP($B76,設定!$A$6:$G$10,2,FALSE),6),0)),"売り場名?"))</f>
        <v/>
      </c>
      <c r="F76" s="18">
        <f>IF(ISNUMBER($E76),IF(VLOOKUP($B76,設定!$A$6:$G$10,5,FALSE)="切り上げ",ROUNDUP(ROUND(($D76-$E76)*VLOOKUP($B76,設定!$A$6:$G$10,3,FALSE),6),0),ROUNDDOWN(ROUND(($D76-$E76)*VLOOKUP($B76,設定!$A$6:$G$10,3,FALSE),6),0)),"")</f>
        <v/>
      </c>
      <c r="G76" s="18">
        <f>IF(ISNUMBER($E76),VLOOKUP($B76,設定!$A$6:$G$10,4,FALSE),"")</f>
        <v/>
      </c>
      <c r="H76" s="18">
        <f>IF(ISNUMBER($E76),$E76+$F76+$G76,"")</f>
        <v/>
      </c>
      <c r="I76" s="22">
        <f>IF(ISNUMBER($H76),$D76-$H76,IF(AND($D76&lt;&gt;"",$B76=""),"←売り場を選ぶ",""))</f>
        <v/>
      </c>
      <c r="J76" s="20" t="n"/>
    </row>
    <row r="77">
      <c r="A77" s="19" t="n"/>
      <c r="B77" s="13" t="n"/>
      <c r="C77" s="20" t="n"/>
      <c r="D77" s="21" t="n"/>
      <c r="E77" s="18">
        <f>IF(OR($B77="",$D77=""),"",IFERROR(IF(VLOOKUP($B77,設定!$A$6:$G$10,5,FALSE)="切り上げ",ROUNDUP(ROUND($D77*VLOOKUP($B77,設定!$A$6:$G$10,2,FALSE),6),0),ROUNDDOWN(ROUND($D77*VLOOKUP($B77,設定!$A$6:$G$10,2,FALSE),6),0)),"売り場名?"))</f>
        <v/>
      </c>
      <c r="F77" s="18">
        <f>IF(ISNUMBER($E77),IF(VLOOKUP($B77,設定!$A$6:$G$10,5,FALSE)="切り上げ",ROUNDUP(ROUND(($D77-$E77)*VLOOKUP($B77,設定!$A$6:$G$10,3,FALSE),6),0),ROUNDDOWN(ROUND(($D77-$E77)*VLOOKUP($B77,設定!$A$6:$G$10,3,FALSE),6),0)),"")</f>
        <v/>
      </c>
      <c r="G77" s="18">
        <f>IF(ISNUMBER($E77),VLOOKUP($B77,設定!$A$6:$G$10,4,FALSE),"")</f>
        <v/>
      </c>
      <c r="H77" s="18">
        <f>IF(ISNUMBER($E77),$E77+$F77+$G77,"")</f>
        <v/>
      </c>
      <c r="I77" s="22">
        <f>IF(ISNUMBER($H77),$D77-$H77,IF(AND($D77&lt;&gt;"",$B77=""),"←売り場を選ぶ",""))</f>
        <v/>
      </c>
      <c r="J77" s="20" t="n"/>
    </row>
    <row r="78">
      <c r="A78" s="19" t="n"/>
      <c r="B78" s="13" t="n"/>
      <c r="C78" s="20" t="n"/>
      <c r="D78" s="21" t="n"/>
      <c r="E78" s="18">
        <f>IF(OR($B78="",$D78=""),"",IFERROR(IF(VLOOKUP($B78,設定!$A$6:$G$10,5,FALSE)="切り上げ",ROUNDUP(ROUND($D78*VLOOKUP($B78,設定!$A$6:$G$10,2,FALSE),6),0),ROUNDDOWN(ROUND($D78*VLOOKUP($B78,設定!$A$6:$G$10,2,FALSE),6),0)),"売り場名?"))</f>
        <v/>
      </c>
      <c r="F78" s="18">
        <f>IF(ISNUMBER($E78),IF(VLOOKUP($B78,設定!$A$6:$G$10,5,FALSE)="切り上げ",ROUNDUP(ROUND(($D78-$E78)*VLOOKUP($B78,設定!$A$6:$G$10,3,FALSE),6),0),ROUNDDOWN(ROUND(($D78-$E78)*VLOOKUP($B78,設定!$A$6:$G$10,3,FALSE),6),0)),"")</f>
        <v/>
      </c>
      <c r="G78" s="18">
        <f>IF(ISNUMBER($E78),VLOOKUP($B78,設定!$A$6:$G$10,4,FALSE),"")</f>
        <v/>
      </c>
      <c r="H78" s="18">
        <f>IF(ISNUMBER($E78),$E78+$F78+$G78,"")</f>
        <v/>
      </c>
      <c r="I78" s="22">
        <f>IF(ISNUMBER($H78),$D78-$H78,IF(AND($D78&lt;&gt;"",$B78=""),"←売り場を選ぶ",""))</f>
        <v/>
      </c>
      <c r="J78" s="20" t="n"/>
    </row>
    <row r="79">
      <c r="A79" s="19" t="n"/>
      <c r="B79" s="13" t="n"/>
      <c r="C79" s="20" t="n"/>
      <c r="D79" s="21" t="n"/>
      <c r="E79" s="18">
        <f>IF(OR($B79="",$D79=""),"",IFERROR(IF(VLOOKUP($B79,設定!$A$6:$G$10,5,FALSE)="切り上げ",ROUNDUP(ROUND($D79*VLOOKUP($B79,設定!$A$6:$G$10,2,FALSE),6),0),ROUNDDOWN(ROUND($D79*VLOOKUP($B79,設定!$A$6:$G$10,2,FALSE),6),0)),"売り場名?"))</f>
        <v/>
      </c>
      <c r="F79" s="18">
        <f>IF(ISNUMBER($E79),IF(VLOOKUP($B79,設定!$A$6:$G$10,5,FALSE)="切り上げ",ROUNDUP(ROUND(($D79-$E79)*VLOOKUP($B79,設定!$A$6:$G$10,3,FALSE),6),0),ROUNDDOWN(ROUND(($D79-$E79)*VLOOKUP($B79,設定!$A$6:$G$10,3,FALSE),6),0)),"")</f>
        <v/>
      </c>
      <c r="G79" s="18">
        <f>IF(ISNUMBER($E79),VLOOKUP($B79,設定!$A$6:$G$10,4,FALSE),"")</f>
        <v/>
      </c>
      <c r="H79" s="18">
        <f>IF(ISNUMBER($E79),$E79+$F79+$G79,"")</f>
        <v/>
      </c>
      <c r="I79" s="22">
        <f>IF(ISNUMBER($H79),$D79-$H79,IF(AND($D79&lt;&gt;"",$B79=""),"←売り場を選ぶ",""))</f>
        <v/>
      </c>
      <c r="J79" s="20" t="n"/>
    </row>
    <row r="80">
      <c r="A80" s="19" t="n"/>
      <c r="B80" s="13" t="n"/>
      <c r="C80" s="20" t="n"/>
      <c r="D80" s="21" t="n"/>
      <c r="E80" s="18">
        <f>IF(OR($B80="",$D80=""),"",IFERROR(IF(VLOOKUP($B80,設定!$A$6:$G$10,5,FALSE)="切り上げ",ROUNDUP(ROUND($D80*VLOOKUP($B80,設定!$A$6:$G$10,2,FALSE),6),0),ROUNDDOWN(ROUND($D80*VLOOKUP($B80,設定!$A$6:$G$10,2,FALSE),6),0)),"売り場名?"))</f>
        <v/>
      </c>
      <c r="F80" s="18">
        <f>IF(ISNUMBER($E80),IF(VLOOKUP($B80,設定!$A$6:$G$10,5,FALSE)="切り上げ",ROUNDUP(ROUND(($D80-$E80)*VLOOKUP($B80,設定!$A$6:$G$10,3,FALSE),6),0),ROUNDDOWN(ROUND(($D80-$E80)*VLOOKUP($B80,設定!$A$6:$G$10,3,FALSE),6),0)),"")</f>
        <v/>
      </c>
      <c r="G80" s="18">
        <f>IF(ISNUMBER($E80),VLOOKUP($B80,設定!$A$6:$G$10,4,FALSE),"")</f>
        <v/>
      </c>
      <c r="H80" s="18">
        <f>IF(ISNUMBER($E80),$E80+$F80+$G80,"")</f>
        <v/>
      </c>
      <c r="I80" s="22">
        <f>IF(ISNUMBER($H80),$D80-$H80,IF(AND($D80&lt;&gt;"",$B80=""),"←売り場を選ぶ",""))</f>
        <v/>
      </c>
      <c r="J80" s="20" t="n"/>
    </row>
    <row r="81">
      <c r="A81" s="19" t="n"/>
      <c r="B81" s="13" t="n"/>
      <c r="C81" s="20" t="n"/>
      <c r="D81" s="21" t="n"/>
      <c r="E81" s="18">
        <f>IF(OR($B81="",$D81=""),"",IFERROR(IF(VLOOKUP($B81,設定!$A$6:$G$10,5,FALSE)="切り上げ",ROUNDUP(ROUND($D81*VLOOKUP($B81,設定!$A$6:$G$10,2,FALSE),6),0),ROUNDDOWN(ROUND($D81*VLOOKUP($B81,設定!$A$6:$G$10,2,FALSE),6),0)),"売り場名?"))</f>
        <v/>
      </c>
      <c r="F81" s="18">
        <f>IF(ISNUMBER($E81),IF(VLOOKUP($B81,設定!$A$6:$G$10,5,FALSE)="切り上げ",ROUNDUP(ROUND(($D81-$E81)*VLOOKUP($B81,設定!$A$6:$G$10,3,FALSE),6),0),ROUNDDOWN(ROUND(($D81-$E81)*VLOOKUP($B81,設定!$A$6:$G$10,3,FALSE),6),0)),"")</f>
        <v/>
      </c>
      <c r="G81" s="18">
        <f>IF(ISNUMBER($E81),VLOOKUP($B81,設定!$A$6:$G$10,4,FALSE),"")</f>
        <v/>
      </c>
      <c r="H81" s="18">
        <f>IF(ISNUMBER($E81),$E81+$F81+$G81,"")</f>
        <v/>
      </c>
      <c r="I81" s="22">
        <f>IF(ISNUMBER($H81),$D81-$H81,IF(AND($D81&lt;&gt;"",$B81=""),"←売り場を選ぶ",""))</f>
        <v/>
      </c>
      <c r="J81" s="20" t="n"/>
    </row>
    <row r="82">
      <c r="A82" s="19" t="n"/>
      <c r="B82" s="13" t="n"/>
      <c r="C82" s="20" t="n"/>
      <c r="D82" s="21" t="n"/>
      <c r="E82" s="18">
        <f>IF(OR($B82="",$D82=""),"",IFERROR(IF(VLOOKUP($B82,設定!$A$6:$G$10,5,FALSE)="切り上げ",ROUNDUP(ROUND($D82*VLOOKUP($B82,設定!$A$6:$G$10,2,FALSE),6),0),ROUNDDOWN(ROUND($D82*VLOOKUP($B82,設定!$A$6:$G$10,2,FALSE),6),0)),"売り場名?"))</f>
        <v/>
      </c>
      <c r="F82" s="18">
        <f>IF(ISNUMBER($E82),IF(VLOOKUP($B82,設定!$A$6:$G$10,5,FALSE)="切り上げ",ROUNDUP(ROUND(($D82-$E82)*VLOOKUP($B82,設定!$A$6:$G$10,3,FALSE),6),0),ROUNDDOWN(ROUND(($D82-$E82)*VLOOKUP($B82,設定!$A$6:$G$10,3,FALSE),6),0)),"")</f>
        <v/>
      </c>
      <c r="G82" s="18">
        <f>IF(ISNUMBER($E82),VLOOKUP($B82,設定!$A$6:$G$10,4,FALSE),"")</f>
        <v/>
      </c>
      <c r="H82" s="18">
        <f>IF(ISNUMBER($E82),$E82+$F82+$G82,"")</f>
        <v/>
      </c>
      <c r="I82" s="22">
        <f>IF(ISNUMBER($H82),$D82-$H82,IF(AND($D82&lt;&gt;"",$B82=""),"←売り場を選ぶ",""))</f>
        <v/>
      </c>
      <c r="J82" s="20" t="n"/>
    </row>
    <row r="83">
      <c r="A83" s="19" t="n"/>
      <c r="B83" s="13" t="n"/>
      <c r="C83" s="20" t="n"/>
      <c r="D83" s="21" t="n"/>
      <c r="E83" s="18">
        <f>IF(OR($B83="",$D83=""),"",IFERROR(IF(VLOOKUP($B83,設定!$A$6:$G$10,5,FALSE)="切り上げ",ROUNDUP(ROUND($D83*VLOOKUP($B83,設定!$A$6:$G$10,2,FALSE),6),0),ROUNDDOWN(ROUND($D83*VLOOKUP($B83,設定!$A$6:$G$10,2,FALSE),6),0)),"売り場名?"))</f>
        <v/>
      </c>
      <c r="F83" s="18">
        <f>IF(ISNUMBER($E83),IF(VLOOKUP($B83,設定!$A$6:$G$10,5,FALSE)="切り上げ",ROUNDUP(ROUND(($D83-$E83)*VLOOKUP($B83,設定!$A$6:$G$10,3,FALSE),6),0),ROUNDDOWN(ROUND(($D83-$E83)*VLOOKUP($B83,設定!$A$6:$G$10,3,FALSE),6),0)),"")</f>
        <v/>
      </c>
      <c r="G83" s="18">
        <f>IF(ISNUMBER($E83),VLOOKUP($B83,設定!$A$6:$G$10,4,FALSE),"")</f>
        <v/>
      </c>
      <c r="H83" s="18">
        <f>IF(ISNUMBER($E83),$E83+$F83+$G83,"")</f>
        <v/>
      </c>
      <c r="I83" s="22">
        <f>IF(ISNUMBER($H83),$D83-$H83,IF(AND($D83&lt;&gt;"",$B83=""),"←売り場を選ぶ",""))</f>
        <v/>
      </c>
      <c r="J83" s="20" t="n"/>
    </row>
    <row r="84">
      <c r="A84" s="19" t="n"/>
      <c r="B84" s="13" t="n"/>
      <c r="C84" s="20" t="n"/>
      <c r="D84" s="21" t="n"/>
      <c r="E84" s="18">
        <f>IF(OR($B84="",$D84=""),"",IFERROR(IF(VLOOKUP($B84,設定!$A$6:$G$10,5,FALSE)="切り上げ",ROUNDUP(ROUND($D84*VLOOKUP($B84,設定!$A$6:$G$10,2,FALSE),6),0),ROUNDDOWN(ROUND($D84*VLOOKUP($B84,設定!$A$6:$G$10,2,FALSE),6),0)),"売り場名?"))</f>
        <v/>
      </c>
      <c r="F84" s="18">
        <f>IF(ISNUMBER($E84),IF(VLOOKUP($B84,設定!$A$6:$G$10,5,FALSE)="切り上げ",ROUNDUP(ROUND(($D84-$E84)*VLOOKUP($B84,設定!$A$6:$G$10,3,FALSE),6),0),ROUNDDOWN(ROUND(($D84-$E84)*VLOOKUP($B84,設定!$A$6:$G$10,3,FALSE),6),0)),"")</f>
        <v/>
      </c>
      <c r="G84" s="18">
        <f>IF(ISNUMBER($E84),VLOOKUP($B84,設定!$A$6:$G$10,4,FALSE),"")</f>
        <v/>
      </c>
      <c r="H84" s="18">
        <f>IF(ISNUMBER($E84),$E84+$F84+$G84,"")</f>
        <v/>
      </c>
      <c r="I84" s="22">
        <f>IF(ISNUMBER($H84),$D84-$H84,IF(AND($D84&lt;&gt;"",$B84=""),"←売り場を選ぶ",""))</f>
        <v/>
      </c>
      <c r="J84" s="20" t="n"/>
    </row>
    <row r="85">
      <c r="A85" s="19" t="n"/>
      <c r="B85" s="13" t="n"/>
      <c r="C85" s="20" t="n"/>
      <c r="D85" s="21" t="n"/>
      <c r="E85" s="18">
        <f>IF(OR($B85="",$D85=""),"",IFERROR(IF(VLOOKUP($B85,設定!$A$6:$G$10,5,FALSE)="切り上げ",ROUNDUP(ROUND($D85*VLOOKUP($B85,設定!$A$6:$G$10,2,FALSE),6),0),ROUNDDOWN(ROUND($D85*VLOOKUP($B85,設定!$A$6:$G$10,2,FALSE),6),0)),"売り場名?"))</f>
        <v/>
      </c>
      <c r="F85" s="18">
        <f>IF(ISNUMBER($E85),IF(VLOOKUP($B85,設定!$A$6:$G$10,5,FALSE)="切り上げ",ROUNDUP(ROUND(($D85-$E85)*VLOOKUP($B85,設定!$A$6:$G$10,3,FALSE),6),0),ROUNDDOWN(ROUND(($D85-$E85)*VLOOKUP($B85,設定!$A$6:$G$10,3,FALSE),6),0)),"")</f>
        <v/>
      </c>
      <c r="G85" s="18">
        <f>IF(ISNUMBER($E85),VLOOKUP($B85,設定!$A$6:$G$10,4,FALSE),"")</f>
        <v/>
      </c>
      <c r="H85" s="18">
        <f>IF(ISNUMBER($E85),$E85+$F85+$G85,"")</f>
        <v/>
      </c>
      <c r="I85" s="22">
        <f>IF(ISNUMBER($H85),$D85-$H85,IF(AND($D85&lt;&gt;"",$B85=""),"←売り場を選ぶ",""))</f>
        <v/>
      </c>
      <c r="J85" s="20" t="n"/>
    </row>
    <row r="86">
      <c r="A86" s="19" t="n"/>
      <c r="B86" s="13" t="n"/>
      <c r="C86" s="20" t="n"/>
      <c r="D86" s="21" t="n"/>
      <c r="E86" s="18">
        <f>IF(OR($B86="",$D86=""),"",IFERROR(IF(VLOOKUP($B86,設定!$A$6:$G$10,5,FALSE)="切り上げ",ROUNDUP(ROUND($D86*VLOOKUP($B86,設定!$A$6:$G$10,2,FALSE),6),0),ROUNDDOWN(ROUND($D86*VLOOKUP($B86,設定!$A$6:$G$10,2,FALSE),6),0)),"売り場名?"))</f>
        <v/>
      </c>
      <c r="F86" s="18">
        <f>IF(ISNUMBER($E86),IF(VLOOKUP($B86,設定!$A$6:$G$10,5,FALSE)="切り上げ",ROUNDUP(ROUND(($D86-$E86)*VLOOKUP($B86,設定!$A$6:$G$10,3,FALSE),6),0),ROUNDDOWN(ROUND(($D86-$E86)*VLOOKUP($B86,設定!$A$6:$G$10,3,FALSE),6),0)),"")</f>
        <v/>
      </c>
      <c r="G86" s="18">
        <f>IF(ISNUMBER($E86),VLOOKUP($B86,設定!$A$6:$G$10,4,FALSE),"")</f>
        <v/>
      </c>
      <c r="H86" s="18">
        <f>IF(ISNUMBER($E86),$E86+$F86+$G86,"")</f>
        <v/>
      </c>
      <c r="I86" s="22">
        <f>IF(ISNUMBER($H86),$D86-$H86,IF(AND($D86&lt;&gt;"",$B86=""),"←売り場を選ぶ",""))</f>
        <v/>
      </c>
      <c r="J86" s="20" t="n"/>
    </row>
    <row r="87">
      <c r="A87" s="19" t="n"/>
      <c r="B87" s="13" t="n"/>
      <c r="C87" s="20" t="n"/>
      <c r="D87" s="21" t="n"/>
      <c r="E87" s="18">
        <f>IF(OR($B87="",$D87=""),"",IFERROR(IF(VLOOKUP($B87,設定!$A$6:$G$10,5,FALSE)="切り上げ",ROUNDUP(ROUND($D87*VLOOKUP($B87,設定!$A$6:$G$10,2,FALSE),6),0),ROUNDDOWN(ROUND($D87*VLOOKUP($B87,設定!$A$6:$G$10,2,FALSE),6),0)),"売り場名?"))</f>
        <v/>
      </c>
      <c r="F87" s="18">
        <f>IF(ISNUMBER($E87),IF(VLOOKUP($B87,設定!$A$6:$G$10,5,FALSE)="切り上げ",ROUNDUP(ROUND(($D87-$E87)*VLOOKUP($B87,設定!$A$6:$G$10,3,FALSE),6),0),ROUNDDOWN(ROUND(($D87-$E87)*VLOOKUP($B87,設定!$A$6:$G$10,3,FALSE),6),0)),"")</f>
        <v/>
      </c>
      <c r="G87" s="18">
        <f>IF(ISNUMBER($E87),VLOOKUP($B87,設定!$A$6:$G$10,4,FALSE),"")</f>
        <v/>
      </c>
      <c r="H87" s="18">
        <f>IF(ISNUMBER($E87),$E87+$F87+$G87,"")</f>
        <v/>
      </c>
      <c r="I87" s="22">
        <f>IF(ISNUMBER($H87),$D87-$H87,IF(AND($D87&lt;&gt;"",$B87=""),"←売り場を選ぶ",""))</f>
        <v/>
      </c>
      <c r="J87" s="20" t="n"/>
    </row>
    <row r="88">
      <c r="A88" s="19" t="n"/>
      <c r="B88" s="13" t="n"/>
      <c r="C88" s="20" t="n"/>
      <c r="D88" s="21" t="n"/>
      <c r="E88" s="18">
        <f>IF(OR($B88="",$D88=""),"",IFERROR(IF(VLOOKUP($B88,設定!$A$6:$G$10,5,FALSE)="切り上げ",ROUNDUP(ROUND($D88*VLOOKUP($B88,設定!$A$6:$G$10,2,FALSE),6),0),ROUNDDOWN(ROUND($D88*VLOOKUP($B88,設定!$A$6:$G$10,2,FALSE),6),0)),"売り場名?"))</f>
        <v/>
      </c>
      <c r="F88" s="18">
        <f>IF(ISNUMBER($E88),IF(VLOOKUP($B88,設定!$A$6:$G$10,5,FALSE)="切り上げ",ROUNDUP(ROUND(($D88-$E88)*VLOOKUP($B88,設定!$A$6:$G$10,3,FALSE),6),0),ROUNDDOWN(ROUND(($D88-$E88)*VLOOKUP($B88,設定!$A$6:$G$10,3,FALSE),6),0)),"")</f>
        <v/>
      </c>
      <c r="G88" s="18">
        <f>IF(ISNUMBER($E88),VLOOKUP($B88,設定!$A$6:$G$10,4,FALSE),"")</f>
        <v/>
      </c>
      <c r="H88" s="18">
        <f>IF(ISNUMBER($E88),$E88+$F88+$G88,"")</f>
        <v/>
      </c>
      <c r="I88" s="22">
        <f>IF(ISNUMBER($H88),$D88-$H88,IF(AND($D88&lt;&gt;"",$B88=""),"←売り場を選ぶ",""))</f>
        <v/>
      </c>
      <c r="J88" s="20" t="n"/>
    </row>
    <row r="89">
      <c r="A89" s="19" t="n"/>
      <c r="B89" s="13" t="n"/>
      <c r="C89" s="20" t="n"/>
      <c r="D89" s="21" t="n"/>
      <c r="E89" s="18">
        <f>IF(OR($B89="",$D89=""),"",IFERROR(IF(VLOOKUP($B89,設定!$A$6:$G$10,5,FALSE)="切り上げ",ROUNDUP(ROUND($D89*VLOOKUP($B89,設定!$A$6:$G$10,2,FALSE),6),0),ROUNDDOWN(ROUND($D89*VLOOKUP($B89,設定!$A$6:$G$10,2,FALSE),6),0)),"売り場名?"))</f>
        <v/>
      </c>
      <c r="F89" s="18">
        <f>IF(ISNUMBER($E89),IF(VLOOKUP($B89,設定!$A$6:$G$10,5,FALSE)="切り上げ",ROUNDUP(ROUND(($D89-$E89)*VLOOKUP($B89,設定!$A$6:$G$10,3,FALSE),6),0),ROUNDDOWN(ROUND(($D89-$E89)*VLOOKUP($B89,設定!$A$6:$G$10,3,FALSE),6),0)),"")</f>
        <v/>
      </c>
      <c r="G89" s="18">
        <f>IF(ISNUMBER($E89),VLOOKUP($B89,設定!$A$6:$G$10,4,FALSE),"")</f>
        <v/>
      </c>
      <c r="H89" s="18">
        <f>IF(ISNUMBER($E89),$E89+$F89+$G89,"")</f>
        <v/>
      </c>
      <c r="I89" s="22">
        <f>IF(ISNUMBER($H89),$D89-$H89,IF(AND($D89&lt;&gt;"",$B89=""),"←売り場を選ぶ",""))</f>
        <v/>
      </c>
      <c r="J89" s="20" t="n"/>
    </row>
    <row r="90">
      <c r="A90" s="19" t="n"/>
      <c r="B90" s="13" t="n"/>
      <c r="C90" s="20" t="n"/>
      <c r="D90" s="21" t="n"/>
      <c r="E90" s="18">
        <f>IF(OR($B90="",$D90=""),"",IFERROR(IF(VLOOKUP($B90,設定!$A$6:$G$10,5,FALSE)="切り上げ",ROUNDUP(ROUND($D90*VLOOKUP($B90,設定!$A$6:$G$10,2,FALSE),6),0),ROUNDDOWN(ROUND($D90*VLOOKUP($B90,設定!$A$6:$G$10,2,FALSE),6),0)),"売り場名?"))</f>
        <v/>
      </c>
      <c r="F90" s="18">
        <f>IF(ISNUMBER($E90),IF(VLOOKUP($B90,設定!$A$6:$G$10,5,FALSE)="切り上げ",ROUNDUP(ROUND(($D90-$E90)*VLOOKUP($B90,設定!$A$6:$G$10,3,FALSE),6),0),ROUNDDOWN(ROUND(($D90-$E90)*VLOOKUP($B90,設定!$A$6:$G$10,3,FALSE),6),0)),"")</f>
        <v/>
      </c>
      <c r="G90" s="18">
        <f>IF(ISNUMBER($E90),VLOOKUP($B90,設定!$A$6:$G$10,4,FALSE),"")</f>
        <v/>
      </c>
      <c r="H90" s="18">
        <f>IF(ISNUMBER($E90),$E90+$F90+$G90,"")</f>
        <v/>
      </c>
      <c r="I90" s="22">
        <f>IF(ISNUMBER($H90),$D90-$H90,IF(AND($D90&lt;&gt;"",$B90=""),"←売り場を選ぶ",""))</f>
        <v/>
      </c>
      <c r="J90" s="20" t="n"/>
    </row>
    <row r="91">
      <c r="A91" s="19" t="n"/>
      <c r="B91" s="13" t="n"/>
      <c r="C91" s="20" t="n"/>
      <c r="D91" s="21" t="n"/>
      <c r="E91" s="18">
        <f>IF(OR($B91="",$D91=""),"",IFERROR(IF(VLOOKUP($B91,設定!$A$6:$G$10,5,FALSE)="切り上げ",ROUNDUP(ROUND($D91*VLOOKUP($B91,設定!$A$6:$G$10,2,FALSE),6),0),ROUNDDOWN(ROUND($D91*VLOOKUP($B91,設定!$A$6:$G$10,2,FALSE),6),0)),"売り場名?"))</f>
        <v/>
      </c>
      <c r="F91" s="18">
        <f>IF(ISNUMBER($E91),IF(VLOOKUP($B91,設定!$A$6:$G$10,5,FALSE)="切り上げ",ROUNDUP(ROUND(($D91-$E91)*VLOOKUP($B91,設定!$A$6:$G$10,3,FALSE),6),0),ROUNDDOWN(ROUND(($D91-$E91)*VLOOKUP($B91,設定!$A$6:$G$10,3,FALSE),6),0)),"")</f>
        <v/>
      </c>
      <c r="G91" s="18">
        <f>IF(ISNUMBER($E91),VLOOKUP($B91,設定!$A$6:$G$10,4,FALSE),"")</f>
        <v/>
      </c>
      <c r="H91" s="18">
        <f>IF(ISNUMBER($E91),$E91+$F91+$G91,"")</f>
        <v/>
      </c>
      <c r="I91" s="22">
        <f>IF(ISNUMBER($H91),$D91-$H91,IF(AND($D91&lt;&gt;"",$B91=""),"←売り場を選ぶ",""))</f>
        <v/>
      </c>
      <c r="J91" s="20" t="n"/>
    </row>
    <row r="92">
      <c r="A92" s="19" t="n"/>
      <c r="B92" s="13" t="n"/>
      <c r="C92" s="20" t="n"/>
      <c r="D92" s="21" t="n"/>
      <c r="E92" s="18">
        <f>IF(OR($B92="",$D92=""),"",IFERROR(IF(VLOOKUP($B92,設定!$A$6:$G$10,5,FALSE)="切り上げ",ROUNDUP(ROUND($D92*VLOOKUP($B92,設定!$A$6:$G$10,2,FALSE),6),0),ROUNDDOWN(ROUND($D92*VLOOKUP($B92,設定!$A$6:$G$10,2,FALSE),6),0)),"売り場名?"))</f>
        <v/>
      </c>
      <c r="F92" s="18">
        <f>IF(ISNUMBER($E92),IF(VLOOKUP($B92,設定!$A$6:$G$10,5,FALSE)="切り上げ",ROUNDUP(ROUND(($D92-$E92)*VLOOKUP($B92,設定!$A$6:$G$10,3,FALSE),6),0),ROUNDDOWN(ROUND(($D92-$E92)*VLOOKUP($B92,設定!$A$6:$G$10,3,FALSE),6),0)),"")</f>
        <v/>
      </c>
      <c r="G92" s="18">
        <f>IF(ISNUMBER($E92),VLOOKUP($B92,設定!$A$6:$G$10,4,FALSE),"")</f>
        <v/>
      </c>
      <c r="H92" s="18">
        <f>IF(ISNUMBER($E92),$E92+$F92+$G92,"")</f>
        <v/>
      </c>
      <c r="I92" s="22">
        <f>IF(ISNUMBER($H92),$D92-$H92,IF(AND($D92&lt;&gt;"",$B92=""),"←売り場を選ぶ",""))</f>
        <v/>
      </c>
      <c r="J92" s="20" t="n"/>
    </row>
    <row r="93">
      <c r="A93" s="19" t="n"/>
      <c r="B93" s="13" t="n"/>
      <c r="C93" s="20" t="n"/>
      <c r="D93" s="21" t="n"/>
      <c r="E93" s="18">
        <f>IF(OR($B93="",$D93=""),"",IFERROR(IF(VLOOKUP($B93,設定!$A$6:$G$10,5,FALSE)="切り上げ",ROUNDUP(ROUND($D93*VLOOKUP($B93,設定!$A$6:$G$10,2,FALSE),6),0),ROUNDDOWN(ROUND($D93*VLOOKUP($B93,設定!$A$6:$G$10,2,FALSE),6),0)),"売り場名?"))</f>
        <v/>
      </c>
      <c r="F93" s="18">
        <f>IF(ISNUMBER($E93),IF(VLOOKUP($B93,設定!$A$6:$G$10,5,FALSE)="切り上げ",ROUNDUP(ROUND(($D93-$E93)*VLOOKUP($B93,設定!$A$6:$G$10,3,FALSE),6),0),ROUNDDOWN(ROUND(($D93-$E93)*VLOOKUP($B93,設定!$A$6:$G$10,3,FALSE),6),0)),"")</f>
        <v/>
      </c>
      <c r="G93" s="18">
        <f>IF(ISNUMBER($E93),VLOOKUP($B93,設定!$A$6:$G$10,4,FALSE),"")</f>
        <v/>
      </c>
      <c r="H93" s="18">
        <f>IF(ISNUMBER($E93),$E93+$F93+$G93,"")</f>
        <v/>
      </c>
      <c r="I93" s="22">
        <f>IF(ISNUMBER($H93),$D93-$H93,IF(AND($D93&lt;&gt;"",$B93=""),"←売り場を選ぶ",""))</f>
        <v/>
      </c>
      <c r="J93" s="20" t="n"/>
    </row>
    <row r="94">
      <c r="A94" s="19" t="n"/>
      <c r="B94" s="13" t="n"/>
      <c r="C94" s="20" t="n"/>
      <c r="D94" s="21" t="n"/>
      <c r="E94" s="18">
        <f>IF(OR($B94="",$D94=""),"",IFERROR(IF(VLOOKUP($B94,設定!$A$6:$G$10,5,FALSE)="切り上げ",ROUNDUP(ROUND($D94*VLOOKUP($B94,設定!$A$6:$G$10,2,FALSE),6),0),ROUNDDOWN(ROUND($D94*VLOOKUP($B94,設定!$A$6:$G$10,2,FALSE),6),0)),"売り場名?"))</f>
        <v/>
      </c>
      <c r="F94" s="18">
        <f>IF(ISNUMBER($E94),IF(VLOOKUP($B94,設定!$A$6:$G$10,5,FALSE)="切り上げ",ROUNDUP(ROUND(($D94-$E94)*VLOOKUP($B94,設定!$A$6:$G$10,3,FALSE),6),0),ROUNDDOWN(ROUND(($D94-$E94)*VLOOKUP($B94,設定!$A$6:$G$10,3,FALSE),6),0)),"")</f>
        <v/>
      </c>
      <c r="G94" s="18">
        <f>IF(ISNUMBER($E94),VLOOKUP($B94,設定!$A$6:$G$10,4,FALSE),"")</f>
        <v/>
      </c>
      <c r="H94" s="18">
        <f>IF(ISNUMBER($E94),$E94+$F94+$G94,"")</f>
        <v/>
      </c>
      <c r="I94" s="22">
        <f>IF(ISNUMBER($H94),$D94-$H94,IF(AND($D94&lt;&gt;"",$B94=""),"←売り場を選ぶ",""))</f>
        <v/>
      </c>
      <c r="J94" s="20" t="n"/>
    </row>
    <row r="95">
      <c r="A95" s="19" t="n"/>
      <c r="B95" s="13" t="n"/>
      <c r="C95" s="20" t="n"/>
      <c r="D95" s="21" t="n"/>
      <c r="E95" s="18">
        <f>IF(OR($B95="",$D95=""),"",IFERROR(IF(VLOOKUP($B95,設定!$A$6:$G$10,5,FALSE)="切り上げ",ROUNDUP(ROUND($D95*VLOOKUP($B95,設定!$A$6:$G$10,2,FALSE),6),0),ROUNDDOWN(ROUND($D95*VLOOKUP($B95,設定!$A$6:$G$10,2,FALSE),6),0)),"売り場名?"))</f>
        <v/>
      </c>
      <c r="F95" s="18">
        <f>IF(ISNUMBER($E95),IF(VLOOKUP($B95,設定!$A$6:$G$10,5,FALSE)="切り上げ",ROUNDUP(ROUND(($D95-$E95)*VLOOKUP($B95,設定!$A$6:$G$10,3,FALSE),6),0),ROUNDDOWN(ROUND(($D95-$E95)*VLOOKUP($B95,設定!$A$6:$G$10,3,FALSE),6),0)),"")</f>
        <v/>
      </c>
      <c r="G95" s="18">
        <f>IF(ISNUMBER($E95),VLOOKUP($B95,設定!$A$6:$G$10,4,FALSE),"")</f>
        <v/>
      </c>
      <c r="H95" s="18">
        <f>IF(ISNUMBER($E95),$E95+$F95+$G95,"")</f>
        <v/>
      </c>
      <c r="I95" s="22">
        <f>IF(ISNUMBER($H95),$D95-$H95,IF(AND($D95&lt;&gt;"",$B95=""),"←売り場を選ぶ",""))</f>
        <v/>
      </c>
      <c r="J95" s="20" t="n"/>
    </row>
    <row r="96">
      <c r="A96" s="19" t="n"/>
      <c r="B96" s="13" t="n"/>
      <c r="C96" s="20" t="n"/>
      <c r="D96" s="21" t="n"/>
      <c r="E96" s="18">
        <f>IF(OR($B96="",$D96=""),"",IFERROR(IF(VLOOKUP($B96,設定!$A$6:$G$10,5,FALSE)="切り上げ",ROUNDUP(ROUND($D96*VLOOKUP($B96,設定!$A$6:$G$10,2,FALSE),6),0),ROUNDDOWN(ROUND($D96*VLOOKUP($B96,設定!$A$6:$G$10,2,FALSE),6),0)),"売り場名?"))</f>
        <v/>
      </c>
      <c r="F96" s="18">
        <f>IF(ISNUMBER($E96),IF(VLOOKUP($B96,設定!$A$6:$G$10,5,FALSE)="切り上げ",ROUNDUP(ROUND(($D96-$E96)*VLOOKUP($B96,設定!$A$6:$G$10,3,FALSE),6),0),ROUNDDOWN(ROUND(($D96-$E96)*VLOOKUP($B96,設定!$A$6:$G$10,3,FALSE),6),0)),"")</f>
        <v/>
      </c>
      <c r="G96" s="18">
        <f>IF(ISNUMBER($E96),VLOOKUP($B96,設定!$A$6:$G$10,4,FALSE),"")</f>
        <v/>
      </c>
      <c r="H96" s="18">
        <f>IF(ISNUMBER($E96),$E96+$F96+$G96,"")</f>
        <v/>
      </c>
      <c r="I96" s="22">
        <f>IF(ISNUMBER($H96),$D96-$H96,IF(AND($D96&lt;&gt;"",$B96=""),"←売り場を選ぶ",""))</f>
        <v/>
      </c>
      <c r="J96" s="20" t="n"/>
    </row>
    <row r="97">
      <c r="A97" s="19" t="n"/>
      <c r="B97" s="13" t="n"/>
      <c r="C97" s="20" t="n"/>
      <c r="D97" s="21" t="n"/>
      <c r="E97" s="18">
        <f>IF(OR($B97="",$D97=""),"",IFERROR(IF(VLOOKUP($B97,設定!$A$6:$G$10,5,FALSE)="切り上げ",ROUNDUP(ROUND($D97*VLOOKUP($B97,設定!$A$6:$G$10,2,FALSE),6),0),ROUNDDOWN(ROUND($D97*VLOOKUP($B97,設定!$A$6:$G$10,2,FALSE),6),0)),"売り場名?"))</f>
        <v/>
      </c>
      <c r="F97" s="18">
        <f>IF(ISNUMBER($E97),IF(VLOOKUP($B97,設定!$A$6:$G$10,5,FALSE)="切り上げ",ROUNDUP(ROUND(($D97-$E97)*VLOOKUP($B97,設定!$A$6:$G$10,3,FALSE),6),0),ROUNDDOWN(ROUND(($D97-$E97)*VLOOKUP($B97,設定!$A$6:$G$10,3,FALSE),6),0)),"")</f>
        <v/>
      </c>
      <c r="G97" s="18">
        <f>IF(ISNUMBER($E97),VLOOKUP($B97,設定!$A$6:$G$10,4,FALSE),"")</f>
        <v/>
      </c>
      <c r="H97" s="18">
        <f>IF(ISNUMBER($E97),$E97+$F97+$G97,"")</f>
        <v/>
      </c>
      <c r="I97" s="22">
        <f>IF(ISNUMBER($H97),$D97-$H97,IF(AND($D97&lt;&gt;"",$B97=""),"←売り場を選ぶ",""))</f>
        <v/>
      </c>
      <c r="J97" s="20" t="n"/>
    </row>
    <row r="98">
      <c r="A98" s="19" t="n"/>
      <c r="B98" s="13" t="n"/>
      <c r="C98" s="20" t="n"/>
      <c r="D98" s="21" t="n"/>
      <c r="E98" s="18">
        <f>IF(OR($B98="",$D98=""),"",IFERROR(IF(VLOOKUP($B98,設定!$A$6:$G$10,5,FALSE)="切り上げ",ROUNDUP(ROUND($D98*VLOOKUP($B98,設定!$A$6:$G$10,2,FALSE),6),0),ROUNDDOWN(ROUND($D98*VLOOKUP($B98,設定!$A$6:$G$10,2,FALSE),6),0)),"売り場名?"))</f>
        <v/>
      </c>
      <c r="F98" s="18">
        <f>IF(ISNUMBER($E98),IF(VLOOKUP($B98,設定!$A$6:$G$10,5,FALSE)="切り上げ",ROUNDUP(ROUND(($D98-$E98)*VLOOKUP($B98,設定!$A$6:$G$10,3,FALSE),6),0),ROUNDDOWN(ROUND(($D98-$E98)*VLOOKUP($B98,設定!$A$6:$G$10,3,FALSE),6),0)),"")</f>
        <v/>
      </c>
      <c r="G98" s="18">
        <f>IF(ISNUMBER($E98),VLOOKUP($B98,設定!$A$6:$G$10,4,FALSE),"")</f>
        <v/>
      </c>
      <c r="H98" s="18">
        <f>IF(ISNUMBER($E98),$E98+$F98+$G98,"")</f>
        <v/>
      </c>
      <c r="I98" s="22">
        <f>IF(ISNUMBER($H98),$D98-$H98,IF(AND($D98&lt;&gt;"",$B98=""),"←売り場を選ぶ",""))</f>
        <v/>
      </c>
      <c r="J98" s="20" t="n"/>
    </row>
    <row r="99">
      <c r="A99" s="19" t="n"/>
      <c r="B99" s="13" t="n"/>
      <c r="C99" s="20" t="n"/>
      <c r="D99" s="21" t="n"/>
      <c r="E99" s="18">
        <f>IF(OR($B99="",$D99=""),"",IFERROR(IF(VLOOKUP($B99,設定!$A$6:$G$10,5,FALSE)="切り上げ",ROUNDUP(ROUND($D99*VLOOKUP($B99,設定!$A$6:$G$10,2,FALSE),6),0),ROUNDDOWN(ROUND($D99*VLOOKUP($B99,設定!$A$6:$G$10,2,FALSE),6),0)),"売り場名?"))</f>
        <v/>
      </c>
      <c r="F99" s="18">
        <f>IF(ISNUMBER($E99),IF(VLOOKUP($B99,設定!$A$6:$G$10,5,FALSE)="切り上げ",ROUNDUP(ROUND(($D99-$E99)*VLOOKUP($B99,設定!$A$6:$G$10,3,FALSE),6),0),ROUNDDOWN(ROUND(($D99-$E99)*VLOOKUP($B99,設定!$A$6:$G$10,3,FALSE),6),0)),"")</f>
        <v/>
      </c>
      <c r="G99" s="18">
        <f>IF(ISNUMBER($E99),VLOOKUP($B99,設定!$A$6:$G$10,4,FALSE),"")</f>
        <v/>
      </c>
      <c r="H99" s="18">
        <f>IF(ISNUMBER($E99),$E99+$F99+$G99,"")</f>
        <v/>
      </c>
      <c r="I99" s="22">
        <f>IF(ISNUMBER($H99),$D99-$H99,IF(AND($D99&lt;&gt;"",$B99=""),"←売り場を選ぶ",""))</f>
        <v/>
      </c>
      <c r="J99" s="20" t="n"/>
    </row>
    <row r="100">
      <c r="A100" s="19" t="n"/>
      <c r="B100" s="13" t="n"/>
      <c r="C100" s="20" t="n"/>
      <c r="D100" s="21" t="n"/>
      <c r="E100" s="18">
        <f>IF(OR($B100="",$D100=""),"",IFERROR(IF(VLOOKUP($B100,設定!$A$6:$G$10,5,FALSE)="切り上げ",ROUNDUP(ROUND($D100*VLOOKUP($B100,設定!$A$6:$G$10,2,FALSE),6),0),ROUNDDOWN(ROUND($D100*VLOOKUP($B100,設定!$A$6:$G$10,2,FALSE),6),0)),"売り場名?"))</f>
        <v/>
      </c>
      <c r="F100" s="18">
        <f>IF(ISNUMBER($E100),IF(VLOOKUP($B100,設定!$A$6:$G$10,5,FALSE)="切り上げ",ROUNDUP(ROUND(($D100-$E100)*VLOOKUP($B100,設定!$A$6:$G$10,3,FALSE),6),0),ROUNDDOWN(ROUND(($D100-$E100)*VLOOKUP($B100,設定!$A$6:$G$10,3,FALSE),6),0)),"")</f>
        <v/>
      </c>
      <c r="G100" s="18">
        <f>IF(ISNUMBER($E100),VLOOKUP($B100,設定!$A$6:$G$10,4,FALSE),"")</f>
        <v/>
      </c>
      <c r="H100" s="18">
        <f>IF(ISNUMBER($E100),$E100+$F100+$G100,"")</f>
        <v/>
      </c>
      <c r="I100" s="22">
        <f>IF(ISNUMBER($H100),$D100-$H100,IF(AND($D100&lt;&gt;"",$B100=""),"←売り場を選ぶ",""))</f>
        <v/>
      </c>
      <c r="J100" s="20" t="n"/>
    </row>
    <row r="101">
      <c r="A101" s="19" t="n"/>
      <c r="B101" s="13" t="n"/>
      <c r="C101" s="20" t="n"/>
      <c r="D101" s="21" t="n"/>
      <c r="E101" s="18">
        <f>IF(OR($B101="",$D101=""),"",IFERROR(IF(VLOOKUP($B101,設定!$A$6:$G$10,5,FALSE)="切り上げ",ROUNDUP(ROUND($D101*VLOOKUP($B101,設定!$A$6:$G$10,2,FALSE),6),0),ROUNDDOWN(ROUND($D101*VLOOKUP($B101,設定!$A$6:$G$10,2,FALSE),6),0)),"売り場名?"))</f>
        <v/>
      </c>
      <c r="F101" s="18">
        <f>IF(ISNUMBER($E101),IF(VLOOKUP($B101,設定!$A$6:$G$10,5,FALSE)="切り上げ",ROUNDUP(ROUND(($D101-$E101)*VLOOKUP($B101,設定!$A$6:$G$10,3,FALSE),6),0),ROUNDDOWN(ROUND(($D101-$E101)*VLOOKUP($B101,設定!$A$6:$G$10,3,FALSE),6),0)),"")</f>
        <v/>
      </c>
      <c r="G101" s="18">
        <f>IF(ISNUMBER($E101),VLOOKUP($B101,設定!$A$6:$G$10,4,FALSE),"")</f>
        <v/>
      </c>
      <c r="H101" s="18">
        <f>IF(ISNUMBER($E101),$E101+$F101+$G101,"")</f>
        <v/>
      </c>
      <c r="I101" s="22">
        <f>IF(ISNUMBER($H101),$D101-$H101,IF(AND($D101&lt;&gt;"",$B101=""),"←売り場を選ぶ",""))</f>
        <v/>
      </c>
      <c r="J101" s="20" t="n"/>
    </row>
    <row r="102">
      <c r="A102" s="19" t="n"/>
      <c r="B102" s="13" t="n"/>
      <c r="C102" s="20" t="n"/>
      <c r="D102" s="21" t="n"/>
      <c r="E102" s="18">
        <f>IF(OR($B102="",$D102=""),"",IFERROR(IF(VLOOKUP($B102,設定!$A$6:$G$10,5,FALSE)="切り上げ",ROUNDUP(ROUND($D102*VLOOKUP($B102,設定!$A$6:$G$10,2,FALSE),6),0),ROUNDDOWN(ROUND($D102*VLOOKUP($B102,設定!$A$6:$G$10,2,FALSE),6),0)),"売り場名?"))</f>
        <v/>
      </c>
      <c r="F102" s="18">
        <f>IF(ISNUMBER($E102),IF(VLOOKUP($B102,設定!$A$6:$G$10,5,FALSE)="切り上げ",ROUNDUP(ROUND(($D102-$E102)*VLOOKUP($B102,設定!$A$6:$G$10,3,FALSE),6),0),ROUNDDOWN(ROUND(($D102-$E102)*VLOOKUP($B102,設定!$A$6:$G$10,3,FALSE),6),0)),"")</f>
        <v/>
      </c>
      <c r="G102" s="18">
        <f>IF(ISNUMBER($E102),VLOOKUP($B102,設定!$A$6:$G$10,4,FALSE),"")</f>
        <v/>
      </c>
      <c r="H102" s="18">
        <f>IF(ISNUMBER($E102),$E102+$F102+$G102,"")</f>
        <v/>
      </c>
      <c r="I102" s="22">
        <f>IF(ISNUMBER($H102),$D102-$H102,IF(AND($D102&lt;&gt;"",$B102=""),"←売り場を選ぶ",""))</f>
        <v/>
      </c>
      <c r="J102" s="20" t="n"/>
    </row>
    <row r="103">
      <c r="A103" s="19" t="n"/>
      <c r="B103" s="13" t="n"/>
      <c r="C103" s="20" t="n"/>
      <c r="D103" s="21" t="n"/>
      <c r="E103" s="18">
        <f>IF(OR($B103="",$D103=""),"",IFERROR(IF(VLOOKUP($B103,設定!$A$6:$G$10,5,FALSE)="切り上げ",ROUNDUP(ROUND($D103*VLOOKUP($B103,設定!$A$6:$G$10,2,FALSE),6),0),ROUNDDOWN(ROUND($D103*VLOOKUP($B103,設定!$A$6:$G$10,2,FALSE),6),0)),"売り場名?"))</f>
        <v/>
      </c>
      <c r="F103" s="18">
        <f>IF(ISNUMBER($E103),IF(VLOOKUP($B103,設定!$A$6:$G$10,5,FALSE)="切り上げ",ROUNDUP(ROUND(($D103-$E103)*VLOOKUP($B103,設定!$A$6:$G$10,3,FALSE),6),0),ROUNDDOWN(ROUND(($D103-$E103)*VLOOKUP($B103,設定!$A$6:$G$10,3,FALSE),6),0)),"")</f>
        <v/>
      </c>
      <c r="G103" s="18">
        <f>IF(ISNUMBER($E103),VLOOKUP($B103,設定!$A$6:$G$10,4,FALSE),"")</f>
        <v/>
      </c>
      <c r="H103" s="18">
        <f>IF(ISNUMBER($E103),$E103+$F103+$G103,"")</f>
        <v/>
      </c>
      <c r="I103" s="22">
        <f>IF(ISNUMBER($H103),$D103-$H103,IF(AND($D103&lt;&gt;"",$B103=""),"←売り場を選ぶ",""))</f>
        <v/>
      </c>
      <c r="J103" s="20" t="n"/>
    </row>
    <row r="104">
      <c r="A104" s="19" t="n"/>
      <c r="B104" s="13" t="n"/>
      <c r="C104" s="20" t="n"/>
      <c r="D104" s="21" t="n"/>
      <c r="E104" s="18">
        <f>IF(OR($B104="",$D104=""),"",IFERROR(IF(VLOOKUP($B104,設定!$A$6:$G$10,5,FALSE)="切り上げ",ROUNDUP(ROUND($D104*VLOOKUP($B104,設定!$A$6:$G$10,2,FALSE),6),0),ROUNDDOWN(ROUND($D104*VLOOKUP($B104,設定!$A$6:$G$10,2,FALSE),6),0)),"売り場名?"))</f>
        <v/>
      </c>
      <c r="F104" s="18">
        <f>IF(ISNUMBER($E104),IF(VLOOKUP($B104,設定!$A$6:$G$10,5,FALSE)="切り上げ",ROUNDUP(ROUND(($D104-$E104)*VLOOKUP($B104,設定!$A$6:$G$10,3,FALSE),6),0),ROUNDDOWN(ROUND(($D104-$E104)*VLOOKUP($B104,設定!$A$6:$G$10,3,FALSE),6),0)),"")</f>
        <v/>
      </c>
      <c r="G104" s="18">
        <f>IF(ISNUMBER($E104),VLOOKUP($B104,設定!$A$6:$G$10,4,FALSE),"")</f>
        <v/>
      </c>
      <c r="H104" s="18">
        <f>IF(ISNUMBER($E104),$E104+$F104+$G104,"")</f>
        <v/>
      </c>
      <c r="I104" s="22">
        <f>IF(ISNUMBER($H104),$D104-$H104,IF(AND($D104&lt;&gt;"",$B104=""),"←売り場を選ぶ",""))</f>
        <v/>
      </c>
      <c r="J104" s="20" t="n"/>
    </row>
    <row r="105">
      <c r="A105" s="19" t="n"/>
      <c r="B105" s="13" t="n"/>
      <c r="C105" s="20" t="n"/>
      <c r="D105" s="21" t="n"/>
      <c r="E105" s="18">
        <f>IF(OR($B105="",$D105=""),"",IFERROR(IF(VLOOKUP($B105,設定!$A$6:$G$10,5,FALSE)="切り上げ",ROUNDUP(ROUND($D105*VLOOKUP($B105,設定!$A$6:$G$10,2,FALSE),6),0),ROUNDDOWN(ROUND($D105*VLOOKUP($B105,設定!$A$6:$G$10,2,FALSE),6),0)),"売り場名?"))</f>
        <v/>
      </c>
      <c r="F105" s="18">
        <f>IF(ISNUMBER($E105),IF(VLOOKUP($B105,設定!$A$6:$G$10,5,FALSE)="切り上げ",ROUNDUP(ROUND(($D105-$E105)*VLOOKUP($B105,設定!$A$6:$G$10,3,FALSE),6),0),ROUNDDOWN(ROUND(($D105-$E105)*VLOOKUP($B105,設定!$A$6:$G$10,3,FALSE),6),0)),"")</f>
        <v/>
      </c>
      <c r="G105" s="18">
        <f>IF(ISNUMBER($E105),VLOOKUP($B105,設定!$A$6:$G$10,4,FALSE),"")</f>
        <v/>
      </c>
      <c r="H105" s="18">
        <f>IF(ISNUMBER($E105),$E105+$F105+$G105,"")</f>
        <v/>
      </c>
      <c r="I105" s="22">
        <f>IF(ISNUMBER($H105),$D105-$H105,IF(AND($D105&lt;&gt;"",$B105=""),"←売り場を選ぶ",""))</f>
        <v/>
      </c>
      <c r="J105" s="20" t="n"/>
    </row>
    <row r="106">
      <c r="A106" s="19" t="n"/>
      <c r="B106" s="13" t="n"/>
      <c r="C106" s="20" t="n"/>
      <c r="D106" s="21" t="n"/>
      <c r="E106" s="18">
        <f>IF(OR($B106="",$D106=""),"",IFERROR(IF(VLOOKUP($B106,設定!$A$6:$G$10,5,FALSE)="切り上げ",ROUNDUP(ROUND($D106*VLOOKUP($B106,設定!$A$6:$G$10,2,FALSE),6),0),ROUNDDOWN(ROUND($D106*VLOOKUP($B106,設定!$A$6:$G$10,2,FALSE),6),0)),"売り場名?"))</f>
        <v/>
      </c>
      <c r="F106" s="18">
        <f>IF(ISNUMBER($E106),IF(VLOOKUP($B106,設定!$A$6:$G$10,5,FALSE)="切り上げ",ROUNDUP(ROUND(($D106-$E106)*VLOOKUP($B106,設定!$A$6:$G$10,3,FALSE),6),0),ROUNDDOWN(ROUND(($D106-$E106)*VLOOKUP($B106,設定!$A$6:$G$10,3,FALSE),6),0)),"")</f>
        <v/>
      </c>
      <c r="G106" s="18">
        <f>IF(ISNUMBER($E106),VLOOKUP($B106,設定!$A$6:$G$10,4,FALSE),"")</f>
        <v/>
      </c>
      <c r="H106" s="18">
        <f>IF(ISNUMBER($E106),$E106+$F106+$G106,"")</f>
        <v/>
      </c>
      <c r="I106" s="22">
        <f>IF(ISNUMBER($H106),$D106-$H106,IF(AND($D106&lt;&gt;"",$B106=""),"←売り場を選ぶ",""))</f>
        <v/>
      </c>
      <c r="J106" s="20" t="n"/>
    </row>
    <row r="107">
      <c r="A107" s="19" t="n"/>
      <c r="B107" s="13" t="n"/>
      <c r="C107" s="20" t="n"/>
      <c r="D107" s="21" t="n"/>
      <c r="E107" s="18">
        <f>IF(OR($B107="",$D107=""),"",IFERROR(IF(VLOOKUP($B107,設定!$A$6:$G$10,5,FALSE)="切り上げ",ROUNDUP(ROUND($D107*VLOOKUP($B107,設定!$A$6:$G$10,2,FALSE),6),0),ROUNDDOWN(ROUND($D107*VLOOKUP($B107,設定!$A$6:$G$10,2,FALSE),6),0)),"売り場名?"))</f>
        <v/>
      </c>
      <c r="F107" s="18">
        <f>IF(ISNUMBER($E107),IF(VLOOKUP($B107,設定!$A$6:$G$10,5,FALSE)="切り上げ",ROUNDUP(ROUND(($D107-$E107)*VLOOKUP($B107,設定!$A$6:$G$10,3,FALSE),6),0),ROUNDDOWN(ROUND(($D107-$E107)*VLOOKUP($B107,設定!$A$6:$G$10,3,FALSE),6),0)),"")</f>
        <v/>
      </c>
      <c r="G107" s="18">
        <f>IF(ISNUMBER($E107),VLOOKUP($B107,設定!$A$6:$G$10,4,FALSE),"")</f>
        <v/>
      </c>
      <c r="H107" s="18">
        <f>IF(ISNUMBER($E107),$E107+$F107+$G107,"")</f>
        <v/>
      </c>
      <c r="I107" s="22">
        <f>IF(ISNUMBER($H107),$D107-$H107,IF(AND($D107&lt;&gt;"",$B107=""),"←売り場を選ぶ",""))</f>
        <v/>
      </c>
      <c r="J107" s="20" t="n"/>
    </row>
    <row r="108">
      <c r="A108" s="19" t="n"/>
      <c r="B108" s="13" t="n"/>
      <c r="C108" s="20" t="n"/>
      <c r="D108" s="21" t="n"/>
      <c r="E108" s="18">
        <f>IF(OR($B108="",$D108=""),"",IFERROR(IF(VLOOKUP($B108,設定!$A$6:$G$10,5,FALSE)="切り上げ",ROUNDUP(ROUND($D108*VLOOKUP($B108,設定!$A$6:$G$10,2,FALSE),6),0),ROUNDDOWN(ROUND($D108*VLOOKUP($B108,設定!$A$6:$G$10,2,FALSE),6),0)),"売り場名?"))</f>
        <v/>
      </c>
      <c r="F108" s="18">
        <f>IF(ISNUMBER($E108),IF(VLOOKUP($B108,設定!$A$6:$G$10,5,FALSE)="切り上げ",ROUNDUP(ROUND(($D108-$E108)*VLOOKUP($B108,設定!$A$6:$G$10,3,FALSE),6),0),ROUNDDOWN(ROUND(($D108-$E108)*VLOOKUP($B108,設定!$A$6:$G$10,3,FALSE),6),0)),"")</f>
        <v/>
      </c>
      <c r="G108" s="18">
        <f>IF(ISNUMBER($E108),VLOOKUP($B108,設定!$A$6:$G$10,4,FALSE),"")</f>
        <v/>
      </c>
      <c r="H108" s="18">
        <f>IF(ISNUMBER($E108),$E108+$F108+$G108,"")</f>
        <v/>
      </c>
      <c r="I108" s="22">
        <f>IF(ISNUMBER($H108),$D108-$H108,IF(AND($D108&lt;&gt;"",$B108=""),"←売り場を選ぶ",""))</f>
        <v/>
      </c>
      <c r="J108" s="20" t="n"/>
    </row>
    <row r="109">
      <c r="A109" s="19" t="n"/>
      <c r="B109" s="13" t="n"/>
      <c r="C109" s="20" t="n"/>
      <c r="D109" s="21" t="n"/>
      <c r="E109" s="18">
        <f>IF(OR($B109="",$D109=""),"",IFERROR(IF(VLOOKUP($B109,設定!$A$6:$G$10,5,FALSE)="切り上げ",ROUNDUP(ROUND($D109*VLOOKUP($B109,設定!$A$6:$G$10,2,FALSE),6),0),ROUNDDOWN(ROUND($D109*VLOOKUP($B109,設定!$A$6:$G$10,2,FALSE),6),0)),"売り場名?"))</f>
        <v/>
      </c>
      <c r="F109" s="18">
        <f>IF(ISNUMBER($E109),IF(VLOOKUP($B109,設定!$A$6:$G$10,5,FALSE)="切り上げ",ROUNDUP(ROUND(($D109-$E109)*VLOOKUP($B109,設定!$A$6:$G$10,3,FALSE),6),0),ROUNDDOWN(ROUND(($D109-$E109)*VLOOKUP($B109,設定!$A$6:$G$10,3,FALSE),6),0)),"")</f>
        <v/>
      </c>
      <c r="G109" s="18">
        <f>IF(ISNUMBER($E109),VLOOKUP($B109,設定!$A$6:$G$10,4,FALSE),"")</f>
        <v/>
      </c>
      <c r="H109" s="18">
        <f>IF(ISNUMBER($E109),$E109+$F109+$G109,"")</f>
        <v/>
      </c>
      <c r="I109" s="22">
        <f>IF(ISNUMBER($H109),$D109-$H109,IF(AND($D109&lt;&gt;"",$B109=""),"←売り場を選ぶ",""))</f>
        <v/>
      </c>
      <c r="J109" s="20" t="n"/>
    </row>
    <row r="110">
      <c r="A110" s="19" t="n"/>
      <c r="B110" s="13" t="n"/>
      <c r="C110" s="20" t="n"/>
      <c r="D110" s="21" t="n"/>
      <c r="E110" s="18">
        <f>IF(OR($B110="",$D110=""),"",IFERROR(IF(VLOOKUP($B110,設定!$A$6:$G$10,5,FALSE)="切り上げ",ROUNDUP(ROUND($D110*VLOOKUP($B110,設定!$A$6:$G$10,2,FALSE),6),0),ROUNDDOWN(ROUND($D110*VLOOKUP($B110,設定!$A$6:$G$10,2,FALSE),6),0)),"売り場名?"))</f>
        <v/>
      </c>
      <c r="F110" s="18">
        <f>IF(ISNUMBER($E110),IF(VLOOKUP($B110,設定!$A$6:$G$10,5,FALSE)="切り上げ",ROUNDUP(ROUND(($D110-$E110)*VLOOKUP($B110,設定!$A$6:$G$10,3,FALSE),6),0),ROUNDDOWN(ROUND(($D110-$E110)*VLOOKUP($B110,設定!$A$6:$G$10,3,FALSE),6),0)),"")</f>
        <v/>
      </c>
      <c r="G110" s="18">
        <f>IF(ISNUMBER($E110),VLOOKUP($B110,設定!$A$6:$G$10,4,FALSE),"")</f>
        <v/>
      </c>
      <c r="H110" s="18">
        <f>IF(ISNUMBER($E110),$E110+$F110+$G110,"")</f>
        <v/>
      </c>
      <c r="I110" s="22">
        <f>IF(ISNUMBER($H110),$D110-$H110,IF(AND($D110&lt;&gt;"",$B110=""),"←売り場を選ぶ",""))</f>
        <v/>
      </c>
      <c r="J110" s="20" t="n"/>
    </row>
    <row r="111">
      <c r="A111" s="19" t="n"/>
      <c r="B111" s="13" t="n"/>
      <c r="C111" s="20" t="n"/>
      <c r="D111" s="21" t="n"/>
      <c r="E111" s="18">
        <f>IF(OR($B111="",$D111=""),"",IFERROR(IF(VLOOKUP($B111,設定!$A$6:$G$10,5,FALSE)="切り上げ",ROUNDUP(ROUND($D111*VLOOKUP($B111,設定!$A$6:$G$10,2,FALSE),6),0),ROUNDDOWN(ROUND($D111*VLOOKUP($B111,設定!$A$6:$G$10,2,FALSE),6),0)),"売り場名?"))</f>
        <v/>
      </c>
      <c r="F111" s="18">
        <f>IF(ISNUMBER($E111),IF(VLOOKUP($B111,設定!$A$6:$G$10,5,FALSE)="切り上げ",ROUNDUP(ROUND(($D111-$E111)*VLOOKUP($B111,設定!$A$6:$G$10,3,FALSE),6),0),ROUNDDOWN(ROUND(($D111-$E111)*VLOOKUP($B111,設定!$A$6:$G$10,3,FALSE),6),0)),"")</f>
        <v/>
      </c>
      <c r="G111" s="18">
        <f>IF(ISNUMBER($E111),VLOOKUP($B111,設定!$A$6:$G$10,4,FALSE),"")</f>
        <v/>
      </c>
      <c r="H111" s="18">
        <f>IF(ISNUMBER($E111),$E111+$F111+$G111,"")</f>
        <v/>
      </c>
      <c r="I111" s="22">
        <f>IF(ISNUMBER($H111),$D111-$H111,IF(AND($D111&lt;&gt;"",$B111=""),"←売り場を選ぶ",""))</f>
        <v/>
      </c>
      <c r="J111" s="20" t="n"/>
    </row>
    <row r="112">
      <c r="A112" s="19" t="n"/>
      <c r="B112" s="13" t="n"/>
      <c r="C112" s="20" t="n"/>
      <c r="D112" s="21" t="n"/>
      <c r="E112" s="18">
        <f>IF(OR($B112="",$D112=""),"",IFERROR(IF(VLOOKUP($B112,設定!$A$6:$G$10,5,FALSE)="切り上げ",ROUNDUP(ROUND($D112*VLOOKUP($B112,設定!$A$6:$G$10,2,FALSE),6),0),ROUNDDOWN(ROUND($D112*VLOOKUP($B112,設定!$A$6:$G$10,2,FALSE),6),0)),"売り場名?"))</f>
        <v/>
      </c>
      <c r="F112" s="18">
        <f>IF(ISNUMBER($E112),IF(VLOOKUP($B112,設定!$A$6:$G$10,5,FALSE)="切り上げ",ROUNDUP(ROUND(($D112-$E112)*VLOOKUP($B112,設定!$A$6:$G$10,3,FALSE),6),0),ROUNDDOWN(ROUND(($D112-$E112)*VLOOKUP($B112,設定!$A$6:$G$10,3,FALSE),6),0)),"")</f>
        <v/>
      </c>
      <c r="G112" s="18">
        <f>IF(ISNUMBER($E112),VLOOKUP($B112,設定!$A$6:$G$10,4,FALSE),"")</f>
        <v/>
      </c>
      <c r="H112" s="18">
        <f>IF(ISNUMBER($E112),$E112+$F112+$G112,"")</f>
        <v/>
      </c>
      <c r="I112" s="22">
        <f>IF(ISNUMBER($H112),$D112-$H112,IF(AND($D112&lt;&gt;"",$B112=""),"←売り場を選ぶ",""))</f>
        <v/>
      </c>
      <c r="J112" s="20" t="n"/>
    </row>
    <row r="113">
      <c r="A113" s="19" t="n"/>
      <c r="B113" s="13" t="n"/>
      <c r="C113" s="20" t="n"/>
      <c r="D113" s="21" t="n"/>
      <c r="E113" s="18">
        <f>IF(OR($B113="",$D113=""),"",IFERROR(IF(VLOOKUP($B113,設定!$A$6:$G$10,5,FALSE)="切り上げ",ROUNDUP(ROUND($D113*VLOOKUP($B113,設定!$A$6:$G$10,2,FALSE),6),0),ROUNDDOWN(ROUND($D113*VLOOKUP($B113,設定!$A$6:$G$10,2,FALSE),6),0)),"売り場名?"))</f>
        <v/>
      </c>
      <c r="F113" s="18">
        <f>IF(ISNUMBER($E113),IF(VLOOKUP($B113,設定!$A$6:$G$10,5,FALSE)="切り上げ",ROUNDUP(ROUND(($D113-$E113)*VLOOKUP($B113,設定!$A$6:$G$10,3,FALSE),6),0),ROUNDDOWN(ROUND(($D113-$E113)*VLOOKUP($B113,設定!$A$6:$G$10,3,FALSE),6),0)),"")</f>
        <v/>
      </c>
      <c r="G113" s="18">
        <f>IF(ISNUMBER($E113),VLOOKUP($B113,設定!$A$6:$G$10,4,FALSE),"")</f>
        <v/>
      </c>
      <c r="H113" s="18">
        <f>IF(ISNUMBER($E113),$E113+$F113+$G113,"")</f>
        <v/>
      </c>
      <c r="I113" s="22">
        <f>IF(ISNUMBER($H113),$D113-$H113,IF(AND($D113&lt;&gt;"",$B113=""),"←売り場を選ぶ",""))</f>
        <v/>
      </c>
      <c r="J113" s="20" t="n"/>
    </row>
    <row r="114">
      <c r="A114" s="19" t="n"/>
      <c r="B114" s="13" t="n"/>
      <c r="C114" s="20" t="n"/>
      <c r="D114" s="21" t="n"/>
      <c r="E114" s="18">
        <f>IF(OR($B114="",$D114=""),"",IFERROR(IF(VLOOKUP($B114,設定!$A$6:$G$10,5,FALSE)="切り上げ",ROUNDUP(ROUND($D114*VLOOKUP($B114,設定!$A$6:$G$10,2,FALSE),6),0),ROUNDDOWN(ROUND($D114*VLOOKUP($B114,設定!$A$6:$G$10,2,FALSE),6),0)),"売り場名?"))</f>
        <v/>
      </c>
      <c r="F114" s="18">
        <f>IF(ISNUMBER($E114),IF(VLOOKUP($B114,設定!$A$6:$G$10,5,FALSE)="切り上げ",ROUNDUP(ROUND(($D114-$E114)*VLOOKUP($B114,設定!$A$6:$G$10,3,FALSE),6),0),ROUNDDOWN(ROUND(($D114-$E114)*VLOOKUP($B114,設定!$A$6:$G$10,3,FALSE),6),0)),"")</f>
        <v/>
      </c>
      <c r="G114" s="18">
        <f>IF(ISNUMBER($E114),VLOOKUP($B114,設定!$A$6:$G$10,4,FALSE),"")</f>
        <v/>
      </c>
      <c r="H114" s="18">
        <f>IF(ISNUMBER($E114),$E114+$F114+$G114,"")</f>
        <v/>
      </c>
      <c r="I114" s="22">
        <f>IF(ISNUMBER($H114),$D114-$H114,IF(AND($D114&lt;&gt;"",$B114=""),"←売り場を選ぶ",""))</f>
        <v/>
      </c>
      <c r="J114" s="20" t="n"/>
    </row>
    <row r="115">
      <c r="A115" s="19" t="n"/>
      <c r="B115" s="13" t="n"/>
      <c r="C115" s="20" t="n"/>
      <c r="D115" s="21" t="n"/>
      <c r="E115" s="18">
        <f>IF(OR($B115="",$D115=""),"",IFERROR(IF(VLOOKUP($B115,設定!$A$6:$G$10,5,FALSE)="切り上げ",ROUNDUP(ROUND($D115*VLOOKUP($B115,設定!$A$6:$G$10,2,FALSE),6),0),ROUNDDOWN(ROUND($D115*VLOOKUP($B115,設定!$A$6:$G$10,2,FALSE),6),0)),"売り場名?"))</f>
        <v/>
      </c>
      <c r="F115" s="18">
        <f>IF(ISNUMBER($E115),IF(VLOOKUP($B115,設定!$A$6:$G$10,5,FALSE)="切り上げ",ROUNDUP(ROUND(($D115-$E115)*VLOOKUP($B115,設定!$A$6:$G$10,3,FALSE),6),0),ROUNDDOWN(ROUND(($D115-$E115)*VLOOKUP($B115,設定!$A$6:$G$10,3,FALSE),6),0)),"")</f>
        <v/>
      </c>
      <c r="G115" s="18">
        <f>IF(ISNUMBER($E115),VLOOKUP($B115,設定!$A$6:$G$10,4,FALSE),"")</f>
        <v/>
      </c>
      <c r="H115" s="18">
        <f>IF(ISNUMBER($E115),$E115+$F115+$G115,"")</f>
        <v/>
      </c>
      <c r="I115" s="22">
        <f>IF(ISNUMBER($H115),$D115-$H115,IF(AND($D115&lt;&gt;"",$B115=""),"←売り場を選ぶ",""))</f>
        <v/>
      </c>
      <c r="J115" s="20" t="n"/>
    </row>
    <row r="116">
      <c r="A116" s="19" t="n"/>
      <c r="B116" s="13" t="n"/>
      <c r="C116" s="20" t="n"/>
      <c r="D116" s="21" t="n"/>
      <c r="E116" s="18">
        <f>IF(OR($B116="",$D116=""),"",IFERROR(IF(VLOOKUP($B116,設定!$A$6:$G$10,5,FALSE)="切り上げ",ROUNDUP(ROUND($D116*VLOOKUP($B116,設定!$A$6:$G$10,2,FALSE),6),0),ROUNDDOWN(ROUND($D116*VLOOKUP($B116,設定!$A$6:$G$10,2,FALSE),6),0)),"売り場名?"))</f>
        <v/>
      </c>
      <c r="F116" s="18">
        <f>IF(ISNUMBER($E116),IF(VLOOKUP($B116,設定!$A$6:$G$10,5,FALSE)="切り上げ",ROUNDUP(ROUND(($D116-$E116)*VLOOKUP($B116,設定!$A$6:$G$10,3,FALSE),6),0),ROUNDDOWN(ROUND(($D116-$E116)*VLOOKUP($B116,設定!$A$6:$G$10,3,FALSE),6),0)),"")</f>
        <v/>
      </c>
      <c r="G116" s="18">
        <f>IF(ISNUMBER($E116),VLOOKUP($B116,設定!$A$6:$G$10,4,FALSE),"")</f>
        <v/>
      </c>
      <c r="H116" s="18">
        <f>IF(ISNUMBER($E116),$E116+$F116+$G116,"")</f>
        <v/>
      </c>
      <c r="I116" s="22">
        <f>IF(ISNUMBER($H116),$D116-$H116,IF(AND($D116&lt;&gt;"",$B116=""),"←売り場を選ぶ",""))</f>
        <v/>
      </c>
      <c r="J116" s="20" t="n"/>
    </row>
    <row r="117">
      <c r="A117" s="19" t="n"/>
      <c r="B117" s="13" t="n"/>
      <c r="C117" s="20" t="n"/>
      <c r="D117" s="21" t="n"/>
      <c r="E117" s="18">
        <f>IF(OR($B117="",$D117=""),"",IFERROR(IF(VLOOKUP($B117,設定!$A$6:$G$10,5,FALSE)="切り上げ",ROUNDUP(ROUND($D117*VLOOKUP($B117,設定!$A$6:$G$10,2,FALSE),6),0),ROUNDDOWN(ROUND($D117*VLOOKUP($B117,設定!$A$6:$G$10,2,FALSE),6),0)),"売り場名?"))</f>
        <v/>
      </c>
      <c r="F117" s="18">
        <f>IF(ISNUMBER($E117),IF(VLOOKUP($B117,設定!$A$6:$G$10,5,FALSE)="切り上げ",ROUNDUP(ROUND(($D117-$E117)*VLOOKUP($B117,設定!$A$6:$G$10,3,FALSE),6),0),ROUNDDOWN(ROUND(($D117-$E117)*VLOOKUP($B117,設定!$A$6:$G$10,3,FALSE),6),0)),"")</f>
        <v/>
      </c>
      <c r="G117" s="18">
        <f>IF(ISNUMBER($E117),VLOOKUP($B117,設定!$A$6:$G$10,4,FALSE),"")</f>
        <v/>
      </c>
      <c r="H117" s="18">
        <f>IF(ISNUMBER($E117),$E117+$F117+$G117,"")</f>
        <v/>
      </c>
      <c r="I117" s="22">
        <f>IF(ISNUMBER($H117),$D117-$H117,IF(AND($D117&lt;&gt;"",$B117=""),"←売り場を選ぶ",""))</f>
        <v/>
      </c>
      <c r="J117" s="20" t="n"/>
    </row>
    <row r="118">
      <c r="A118" s="19" t="n"/>
      <c r="B118" s="13" t="n"/>
      <c r="C118" s="20" t="n"/>
      <c r="D118" s="21" t="n"/>
      <c r="E118" s="18">
        <f>IF(OR($B118="",$D118=""),"",IFERROR(IF(VLOOKUP($B118,設定!$A$6:$G$10,5,FALSE)="切り上げ",ROUNDUP(ROUND($D118*VLOOKUP($B118,設定!$A$6:$G$10,2,FALSE),6),0),ROUNDDOWN(ROUND($D118*VLOOKUP($B118,設定!$A$6:$G$10,2,FALSE),6),0)),"売り場名?"))</f>
        <v/>
      </c>
      <c r="F118" s="18">
        <f>IF(ISNUMBER($E118),IF(VLOOKUP($B118,設定!$A$6:$G$10,5,FALSE)="切り上げ",ROUNDUP(ROUND(($D118-$E118)*VLOOKUP($B118,設定!$A$6:$G$10,3,FALSE),6),0),ROUNDDOWN(ROUND(($D118-$E118)*VLOOKUP($B118,設定!$A$6:$G$10,3,FALSE),6),0)),"")</f>
        <v/>
      </c>
      <c r="G118" s="18">
        <f>IF(ISNUMBER($E118),VLOOKUP($B118,設定!$A$6:$G$10,4,FALSE),"")</f>
        <v/>
      </c>
      <c r="H118" s="18">
        <f>IF(ISNUMBER($E118),$E118+$F118+$G118,"")</f>
        <v/>
      </c>
      <c r="I118" s="22">
        <f>IF(ISNUMBER($H118),$D118-$H118,IF(AND($D118&lt;&gt;"",$B118=""),"←売り場を選ぶ",""))</f>
        <v/>
      </c>
      <c r="J118" s="20" t="n"/>
    </row>
    <row r="119">
      <c r="A119" s="19" t="n"/>
      <c r="B119" s="13" t="n"/>
      <c r="C119" s="20" t="n"/>
      <c r="D119" s="21" t="n"/>
      <c r="E119" s="18">
        <f>IF(OR($B119="",$D119=""),"",IFERROR(IF(VLOOKUP($B119,設定!$A$6:$G$10,5,FALSE)="切り上げ",ROUNDUP(ROUND($D119*VLOOKUP($B119,設定!$A$6:$G$10,2,FALSE),6),0),ROUNDDOWN(ROUND($D119*VLOOKUP($B119,設定!$A$6:$G$10,2,FALSE),6),0)),"売り場名?"))</f>
        <v/>
      </c>
      <c r="F119" s="18">
        <f>IF(ISNUMBER($E119),IF(VLOOKUP($B119,設定!$A$6:$G$10,5,FALSE)="切り上げ",ROUNDUP(ROUND(($D119-$E119)*VLOOKUP($B119,設定!$A$6:$G$10,3,FALSE),6),0),ROUNDDOWN(ROUND(($D119-$E119)*VLOOKUP($B119,設定!$A$6:$G$10,3,FALSE),6),0)),"")</f>
        <v/>
      </c>
      <c r="G119" s="18">
        <f>IF(ISNUMBER($E119),VLOOKUP($B119,設定!$A$6:$G$10,4,FALSE),"")</f>
        <v/>
      </c>
      <c r="H119" s="18">
        <f>IF(ISNUMBER($E119),$E119+$F119+$G119,"")</f>
        <v/>
      </c>
      <c r="I119" s="22">
        <f>IF(ISNUMBER($H119),$D119-$H119,IF(AND($D119&lt;&gt;"",$B119=""),"←売り場を選ぶ",""))</f>
        <v/>
      </c>
      <c r="J119" s="20" t="n"/>
    </row>
    <row r="120">
      <c r="A120" s="19" t="n"/>
      <c r="B120" s="13" t="n"/>
      <c r="C120" s="20" t="n"/>
      <c r="D120" s="21" t="n"/>
      <c r="E120" s="18">
        <f>IF(OR($B120="",$D120=""),"",IFERROR(IF(VLOOKUP($B120,設定!$A$6:$G$10,5,FALSE)="切り上げ",ROUNDUP(ROUND($D120*VLOOKUP($B120,設定!$A$6:$G$10,2,FALSE),6),0),ROUNDDOWN(ROUND($D120*VLOOKUP($B120,設定!$A$6:$G$10,2,FALSE),6),0)),"売り場名?"))</f>
        <v/>
      </c>
      <c r="F120" s="18">
        <f>IF(ISNUMBER($E120),IF(VLOOKUP($B120,設定!$A$6:$G$10,5,FALSE)="切り上げ",ROUNDUP(ROUND(($D120-$E120)*VLOOKUP($B120,設定!$A$6:$G$10,3,FALSE),6),0),ROUNDDOWN(ROUND(($D120-$E120)*VLOOKUP($B120,設定!$A$6:$G$10,3,FALSE),6),0)),"")</f>
        <v/>
      </c>
      <c r="G120" s="18">
        <f>IF(ISNUMBER($E120),VLOOKUP($B120,設定!$A$6:$G$10,4,FALSE),"")</f>
        <v/>
      </c>
      <c r="H120" s="18">
        <f>IF(ISNUMBER($E120),$E120+$F120+$G120,"")</f>
        <v/>
      </c>
      <c r="I120" s="22">
        <f>IF(ISNUMBER($H120),$D120-$H120,IF(AND($D120&lt;&gt;"",$B120=""),"←売り場を選ぶ",""))</f>
        <v/>
      </c>
      <c r="J120" s="20" t="n"/>
    </row>
    <row r="121">
      <c r="A121" s="19" t="n"/>
      <c r="B121" s="13" t="n"/>
      <c r="C121" s="20" t="n"/>
      <c r="D121" s="21" t="n"/>
      <c r="E121" s="18">
        <f>IF(OR($B121="",$D121=""),"",IFERROR(IF(VLOOKUP($B121,設定!$A$6:$G$10,5,FALSE)="切り上げ",ROUNDUP(ROUND($D121*VLOOKUP($B121,設定!$A$6:$G$10,2,FALSE),6),0),ROUNDDOWN(ROUND($D121*VLOOKUP($B121,設定!$A$6:$G$10,2,FALSE),6),0)),"売り場名?"))</f>
        <v/>
      </c>
      <c r="F121" s="18">
        <f>IF(ISNUMBER($E121),IF(VLOOKUP($B121,設定!$A$6:$G$10,5,FALSE)="切り上げ",ROUNDUP(ROUND(($D121-$E121)*VLOOKUP($B121,設定!$A$6:$G$10,3,FALSE),6),0),ROUNDDOWN(ROUND(($D121-$E121)*VLOOKUP($B121,設定!$A$6:$G$10,3,FALSE),6),0)),"")</f>
        <v/>
      </c>
      <c r="G121" s="18">
        <f>IF(ISNUMBER($E121),VLOOKUP($B121,設定!$A$6:$G$10,4,FALSE),"")</f>
        <v/>
      </c>
      <c r="H121" s="18">
        <f>IF(ISNUMBER($E121),$E121+$F121+$G121,"")</f>
        <v/>
      </c>
      <c r="I121" s="22">
        <f>IF(ISNUMBER($H121),$D121-$H121,IF(AND($D121&lt;&gt;"",$B121=""),"←売り場を選ぶ",""))</f>
        <v/>
      </c>
      <c r="J121" s="20" t="n"/>
    </row>
    <row r="122">
      <c r="A122" s="19" t="n"/>
      <c r="B122" s="13" t="n"/>
      <c r="C122" s="20" t="n"/>
      <c r="D122" s="21" t="n"/>
      <c r="E122" s="18">
        <f>IF(OR($B122="",$D122=""),"",IFERROR(IF(VLOOKUP($B122,設定!$A$6:$G$10,5,FALSE)="切り上げ",ROUNDUP(ROUND($D122*VLOOKUP($B122,設定!$A$6:$G$10,2,FALSE),6),0),ROUNDDOWN(ROUND($D122*VLOOKUP($B122,設定!$A$6:$G$10,2,FALSE),6),0)),"売り場名?"))</f>
        <v/>
      </c>
      <c r="F122" s="18">
        <f>IF(ISNUMBER($E122),IF(VLOOKUP($B122,設定!$A$6:$G$10,5,FALSE)="切り上げ",ROUNDUP(ROUND(($D122-$E122)*VLOOKUP($B122,設定!$A$6:$G$10,3,FALSE),6),0),ROUNDDOWN(ROUND(($D122-$E122)*VLOOKUP($B122,設定!$A$6:$G$10,3,FALSE),6),0)),"")</f>
        <v/>
      </c>
      <c r="G122" s="18">
        <f>IF(ISNUMBER($E122),VLOOKUP($B122,設定!$A$6:$G$10,4,FALSE),"")</f>
        <v/>
      </c>
      <c r="H122" s="18">
        <f>IF(ISNUMBER($E122),$E122+$F122+$G122,"")</f>
        <v/>
      </c>
      <c r="I122" s="22">
        <f>IF(ISNUMBER($H122),$D122-$H122,IF(AND($D122&lt;&gt;"",$B122=""),"←売り場を選ぶ",""))</f>
        <v/>
      </c>
      <c r="J122" s="20" t="n"/>
    </row>
    <row r="123">
      <c r="A123" s="19" t="n"/>
      <c r="B123" s="13" t="n"/>
      <c r="C123" s="20" t="n"/>
      <c r="D123" s="21" t="n"/>
      <c r="E123" s="18">
        <f>IF(OR($B123="",$D123=""),"",IFERROR(IF(VLOOKUP($B123,設定!$A$6:$G$10,5,FALSE)="切り上げ",ROUNDUP(ROUND($D123*VLOOKUP($B123,設定!$A$6:$G$10,2,FALSE),6),0),ROUNDDOWN(ROUND($D123*VLOOKUP($B123,設定!$A$6:$G$10,2,FALSE),6),0)),"売り場名?"))</f>
        <v/>
      </c>
      <c r="F123" s="18">
        <f>IF(ISNUMBER($E123),IF(VLOOKUP($B123,設定!$A$6:$G$10,5,FALSE)="切り上げ",ROUNDUP(ROUND(($D123-$E123)*VLOOKUP($B123,設定!$A$6:$G$10,3,FALSE),6),0),ROUNDDOWN(ROUND(($D123-$E123)*VLOOKUP($B123,設定!$A$6:$G$10,3,FALSE),6),0)),"")</f>
        <v/>
      </c>
      <c r="G123" s="18">
        <f>IF(ISNUMBER($E123),VLOOKUP($B123,設定!$A$6:$G$10,4,FALSE),"")</f>
        <v/>
      </c>
      <c r="H123" s="18">
        <f>IF(ISNUMBER($E123),$E123+$F123+$G123,"")</f>
        <v/>
      </c>
      <c r="I123" s="22">
        <f>IF(ISNUMBER($H123),$D123-$H123,IF(AND($D123&lt;&gt;"",$B123=""),"←売り場を選ぶ",""))</f>
        <v/>
      </c>
      <c r="J123" s="20" t="n"/>
    </row>
    <row r="124">
      <c r="A124" s="19" t="n"/>
      <c r="B124" s="13" t="n"/>
      <c r="C124" s="20" t="n"/>
      <c r="D124" s="21" t="n"/>
      <c r="E124" s="18">
        <f>IF(OR($B124="",$D124=""),"",IFERROR(IF(VLOOKUP($B124,設定!$A$6:$G$10,5,FALSE)="切り上げ",ROUNDUP(ROUND($D124*VLOOKUP($B124,設定!$A$6:$G$10,2,FALSE),6),0),ROUNDDOWN(ROUND($D124*VLOOKUP($B124,設定!$A$6:$G$10,2,FALSE),6),0)),"売り場名?"))</f>
        <v/>
      </c>
      <c r="F124" s="18">
        <f>IF(ISNUMBER($E124),IF(VLOOKUP($B124,設定!$A$6:$G$10,5,FALSE)="切り上げ",ROUNDUP(ROUND(($D124-$E124)*VLOOKUP($B124,設定!$A$6:$G$10,3,FALSE),6),0),ROUNDDOWN(ROUND(($D124-$E124)*VLOOKUP($B124,設定!$A$6:$G$10,3,FALSE),6),0)),"")</f>
        <v/>
      </c>
      <c r="G124" s="18">
        <f>IF(ISNUMBER($E124),VLOOKUP($B124,設定!$A$6:$G$10,4,FALSE),"")</f>
        <v/>
      </c>
      <c r="H124" s="18">
        <f>IF(ISNUMBER($E124),$E124+$F124+$G124,"")</f>
        <v/>
      </c>
      <c r="I124" s="22">
        <f>IF(ISNUMBER($H124),$D124-$H124,IF(AND($D124&lt;&gt;"",$B124=""),"←売り場を選ぶ",""))</f>
        <v/>
      </c>
      <c r="J124" s="20" t="n"/>
    </row>
    <row r="125">
      <c r="A125" s="19" t="n"/>
      <c r="B125" s="13" t="n"/>
      <c r="C125" s="20" t="n"/>
      <c r="D125" s="21" t="n"/>
      <c r="E125" s="18">
        <f>IF(OR($B125="",$D125=""),"",IFERROR(IF(VLOOKUP($B125,設定!$A$6:$G$10,5,FALSE)="切り上げ",ROUNDUP(ROUND($D125*VLOOKUP($B125,設定!$A$6:$G$10,2,FALSE),6),0),ROUNDDOWN(ROUND($D125*VLOOKUP($B125,設定!$A$6:$G$10,2,FALSE),6),0)),"売り場名?"))</f>
        <v/>
      </c>
      <c r="F125" s="18">
        <f>IF(ISNUMBER($E125),IF(VLOOKUP($B125,設定!$A$6:$G$10,5,FALSE)="切り上げ",ROUNDUP(ROUND(($D125-$E125)*VLOOKUP($B125,設定!$A$6:$G$10,3,FALSE),6),0),ROUNDDOWN(ROUND(($D125-$E125)*VLOOKUP($B125,設定!$A$6:$G$10,3,FALSE),6),0)),"")</f>
        <v/>
      </c>
      <c r="G125" s="18">
        <f>IF(ISNUMBER($E125),VLOOKUP($B125,設定!$A$6:$G$10,4,FALSE),"")</f>
        <v/>
      </c>
      <c r="H125" s="18">
        <f>IF(ISNUMBER($E125),$E125+$F125+$G125,"")</f>
        <v/>
      </c>
      <c r="I125" s="22">
        <f>IF(ISNUMBER($H125),$D125-$H125,IF(AND($D125&lt;&gt;"",$B125=""),"←売り場を選ぶ",""))</f>
        <v/>
      </c>
      <c r="J125" s="20" t="n"/>
    </row>
    <row r="126">
      <c r="A126" s="19" t="n"/>
      <c r="B126" s="13" t="n"/>
      <c r="C126" s="20" t="n"/>
      <c r="D126" s="21" t="n"/>
      <c r="E126" s="18">
        <f>IF(OR($B126="",$D126=""),"",IFERROR(IF(VLOOKUP($B126,設定!$A$6:$G$10,5,FALSE)="切り上げ",ROUNDUP(ROUND($D126*VLOOKUP($B126,設定!$A$6:$G$10,2,FALSE),6),0),ROUNDDOWN(ROUND($D126*VLOOKUP($B126,設定!$A$6:$G$10,2,FALSE),6),0)),"売り場名?"))</f>
        <v/>
      </c>
      <c r="F126" s="18">
        <f>IF(ISNUMBER($E126),IF(VLOOKUP($B126,設定!$A$6:$G$10,5,FALSE)="切り上げ",ROUNDUP(ROUND(($D126-$E126)*VLOOKUP($B126,設定!$A$6:$G$10,3,FALSE),6),0),ROUNDDOWN(ROUND(($D126-$E126)*VLOOKUP($B126,設定!$A$6:$G$10,3,FALSE),6),0)),"")</f>
        <v/>
      </c>
      <c r="G126" s="18">
        <f>IF(ISNUMBER($E126),VLOOKUP($B126,設定!$A$6:$G$10,4,FALSE),"")</f>
        <v/>
      </c>
      <c r="H126" s="18">
        <f>IF(ISNUMBER($E126),$E126+$F126+$G126,"")</f>
        <v/>
      </c>
      <c r="I126" s="22">
        <f>IF(ISNUMBER($H126),$D126-$H126,IF(AND($D126&lt;&gt;"",$B126=""),"←売り場を選ぶ",""))</f>
        <v/>
      </c>
      <c r="J126" s="20" t="n"/>
    </row>
    <row r="127">
      <c r="A127" s="19" t="n"/>
      <c r="B127" s="13" t="n"/>
      <c r="C127" s="20" t="n"/>
      <c r="D127" s="21" t="n"/>
      <c r="E127" s="18">
        <f>IF(OR($B127="",$D127=""),"",IFERROR(IF(VLOOKUP($B127,設定!$A$6:$G$10,5,FALSE)="切り上げ",ROUNDUP(ROUND($D127*VLOOKUP($B127,設定!$A$6:$G$10,2,FALSE),6),0),ROUNDDOWN(ROUND($D127*VLOOKUP($B127,設定!$A$6:$G$10,2,FALSE),6),0)),"売り場名?"))</f>
        <v/>
      </c>
      <c r="F127" s="18">
        <f>IF(ISNUMBER($E127),IF(VLOOKUP($B127,設定!$A$6:$G$10,5,FALSE)="切り上げ",ROUNDUP(ROUND(($D127-$E127)*VLOOKUP($B127,設定!$A$6:$G$10,3,FALSE),6),0),ROUNDDOWN(ROUND(($D127-$E127)*VLOOKUP($B127,設定!$A$6:$G$10,3,FALSE),6),0)),"")</f>
        <v/>
      </c>
      <c r="G127" s="18">
        <f>IF(ISNUMBER($E127),VLOOKUP($B127,設定!$A$6:$G$10,4,FALSE),"")</f>
        <v/>
      </c>
      <c r="H127" s="18">
        <f>IF(ISNUMBER($E127),$E127+$F127+$G127,"")</f>
        <v/>
      </c>
      <c r="I127" s="22">
        <f>IF(ISNUMBER($H127),$D127-$H127,IF(AND($D127&lt;&gt;"",$B127=""),"←売り場を選ぶ",""))</f>
        <v/>
      </c>
      <c r="J127" s="20" t="n"/>
    </row>
    <row r="128">
      <c r="A128" s="19" t="n"/>
      <c r="B128" s="13" t="n"/>
      <c r="C128" s="20" t="n"/>
      <c r="D128" s="21" t="n"/>
      <c r="E128" s="18">
        <f>IF(OR($B128="",$D128=""),"",IFERROR(IF(VLOOKUP($B128,設定!$A$6:$G$10,5,FALSE)="切り上げ",ROUNDUP(ROUND($D128*VLOOKUP($B128,設定!$A$6:$G$10,2,FALSE),6),0),ROUNDDOWN(ROUND($D128*VLOOKUP($B128,設定!$A$6:$G$10,2,FALSE),6),0)),"売り場名?"))</f>
        <v/>
      </c>
      <c r="F128" s="18">
        <f>IF(ISNUMBER($E128),IF(VLOOKUP($B128,設定!$A$6:$G$10,5,FALSE)="切り上げ",ROUNDUP(ROUND(($D128-$E128)*VLOOKUP($B128,設定!$A$6:$G$10,3,FALSE),6),0),ROUNDDOWN(ROUND(($D128-$E128)*VLOOKUP($B128,設定!$A$6:$G$10,3,FALSE),6),0)),"")</f>
        <v/>
      </c>
      <c r="G128" s="18">
        <f>IF(ISNUMBER($E128),VLOOKUP($B128,設定!$A$6:$G$10,4,FALSE),"")</f>
        <v/>
      </c>
      <c r="H128" s="18">
        <f>IF(ISNUMBER($E128),$E128+$F128+$G128,"")</f>
        <v/>
      </c>
      <c r="I128" s="22">
        <f>IF(ISNUMBER($H128),$D128-$H128,IF(AND($D128&lt;&gt;"",$B128=""),"←売り場を選ぶ",""))</f>
        <v/>
      </c>
      <c r="J128" s="20" t="n"/>
    </row>
    <row r="129">
      <c r="A129" s="19" t="n"/>
      <c r="B129" s="13" t="n"/>
      <c r="C129" s="20" t="n"/>
      <c r="D129" s="21" t="n"/>
      <c r="E129" s="18">
        <f>IF(OR($B129="",$D129=""),"",IFERROR(IF(VLOOKUP($B129,設定!$A$6:$G$10,5,FALSE)="切り上げ",ROUNDUP(ROUND($D129*VLOOKUP($B129,設定!$A$6:$G$10,2,FALSE),6),0),ROUNDDOWN(ROUND($D129*VLOOKUP($B129,設定!$A$6:$G$10,2,FALSE),6),0)),"売り場名?"))</f>
        <v/>
      </c>
      <c r="F129" s="18">
        <f>IF(ISNUMBER($E129),IF(VLOOKUP($B129,設定!$A$6:$G$10,5,FALSE)="切り上げ",ROUNDUP(ROUND(($D129-$E129)*VLOOKUP($B129,設定!$A$6:$G$10,3,FALSE),6),0),ROUNDDOWN(ROUND(($D129-$E129)*VLOOKUP($B129,設定!$A$6:$G$10,3,FALSE),6),0)),"")</f>
        <v/>
      </c>
      <c r="G129" s="18">
        <f>IF(ISNUMBER($E129),VLOOKUP($B129,設定!$A$6:$G$10,4,FALSE),"")</f>
        <v/>
      </c>
      <c r="H129" s="18">
        <f>IF(ISNUMBER($E129),$E129+$F129+$G129,"")</f>
        <v/>
      </c>
      <c r="I129" s="22">
        <f>IF(ISNUMBER($H129),$D129-$H129,IF(AND($D129&lt;&gt;"",$B129=""),"←売り場を選ぶ",""))</f>
        <v/>
      </c>
      <c r="J129" s="20" t="n"/>
    </row>
    <row r="130">
      <c r="A130" s="19" t="n"/>
      <c r="B130" s="13" t="n"/>
      <c r="C130" s="20" t="n"/>
      <c r="D130" s="21" t="n"/>
      <c r="E130" s="18">
        <f>IF(OR($B130="",$D130=""),"",IFERROR(IF(VLOOKUP($B130,設定!$A$6:$G$10,5,FALSE)="切り上げ",ROUNDUP(ROUND($D130*VLOOKUP($B130,設定!$A$6:$G$10,2,FALSE),6),0),ROUNDDOWN(ROUND($D130*VLOOKUP($B130,設定!$A$6:$G$10,2,FALSE),6),0)),"売り場名?"))</f>
        <v/>
      </c>
      <c r="F130" s="18">
        <f>IF(ISNUMBER($E130),IF(VLOOKUP($B130,設定!$A$6:$G$10,5,FALSE)="切り上げ",ROUNDUP(ROUND(($D130-$E130)*VLOOKUP($B130,設定!$A$6:$G$10,3,FALSE),6),0),ROUNDDOWN(ROUND(($D130-$E130)*VLOOKUP($B130,設定!$A$6:$G$10,3,FALSE),6),0)),"")</f>
        <v/>
      </c>
      <c r="G130" s="18">
        <f>IF(ISNUMBER($E130),VLOOKUP($B130,設定!$A$6:$G$10,4,FALSE),"")</f>
        <v/>
      </c>
      <c r="H130" s="18">
        <f>IF(ISNUMBER($E130),$E130+$F130+$G130,"")</f>
        <v/>
      </c>
      <c r="I130" s="22">
        <f>IF(ISNUMBER($H130),$D130-$H130,IF(AND($D130&lt;&gt;"",$B130=""),"←売り場を選ぶ",""))</f>
        <v/>
      </c>
      <c r="J130" s="20" t="n"/>
    </row>
    <row r="131">
      <c r="A131" s="19" t="n"/>
      <c r="B131" s="13" t="n"/>
      <c r="C131" s="20" t="n"/>
      <c r="D131" s="21" t="n"/>
      <c r="E131" s="18">
        <f>IF(OR($B131="",$D131=""),"",IFERROR(IF(VLOOKUP($B131,設定!$A$6:$G$10,5,FALSE)="切り上げ",ROUNDUP(ROUND($D131*VLOOKUP($B131,設定!$A$6:$G$10,2,FALSE),6),0),ROUNDDOWN(ROUND($D131*VLOOKUP($B131,設定!$A$6:$G$10,2,FALSE),6),0)),"売り場名?"))</f>
        <v/>
      </c>
      <c r="F131" s="18">
        <f>IF(ISNUMBER($E131),IF(VLOOKUP($B131,設定!$A$6:$G$10,5,FALSE)="切り上げ",ROUNDUP(ROUND(($D131-$E131)*VLOOKUP($B131,設定!$A$6:$G$10,3,FALSE),6),0),ROUNDDOWN(ROUND(($D131-$E131)*VLOOKUP($B131,設定!$A$6:$G$10,3,FALSE),6),0)),"")</f>
        <v/>
      </c>
      <c r="G131" s="18">
        <f>IF(ISNUMBER($E131),VLOOKUP($B131,設定!$A$6:$G$10,4,FALSE),"")</f>
        <v/>
      </c>
      <c r="H131" s="18">
        <f>IF(ISNUMBER($E131),$E131+$F131+$G131,"")</f>
        <v/>
      </c>
      <c r="I131" s="22">
        <f>IF(ISNUMBER($H131),$D131-$H131,IF(AND($D131&lt;&gt;"",$B131=""),"←売り場を選ぶ",""))</f>
        <v/>
      </c>
      <c r="J131" s="20" t="n"/>
    </row>
    <row r="132">
      <c r="A132" s="19" t="n"/>
      <c r="B132" s="13" t="n"/>
      <c r="C132" s="20" t="n"/>
      <c r="D132" s="21" t="n"/>
      <c r="E132" s="18">
        <f>IF(OR($B132="",$D132=""),"",IFERROR(IF(VLOOKUP($B132,設定!$A$6:$G$10,5,FALSE)="切り上げ",ROUNDUP(ROUND($D132*VLOOKUP($B132,設定!$A$6:$G$10,2,FALSE),6),0),ROUNDDOWN(ROUND($D132*VLOOKUP($B132,設定!$A$6:$G$10,2,FALSE),6),0)),"売り場名?"))</f>
        <v/>
      </c>
      <c r="F132" s="18">
        <f>IF(ISNUMBER($E132),IF(VLOOKUP($B132,設定!$A$6:$G$10,5,FALSE)="切り上げ",ROUNDUP(ROUND(($D132-$E132)*VLOOKUP($B132,設定!$A$6:$G$10,3,FALSE),6),0),ROUNDDOWN(ROUND(($D132-$E132)*VLOOKUP($B132,設定!$A$6:$G$10,3,FALSE),6),0)),"")</f>
        <v/>
      </c>
      <c r="G132" s="18">
        <f>IF(ISNUMBER($E132),VLOOKUP($B132,設定!$A$6:$G$10,4,FALSE),"")</f>
        <v/>
      </c>
      <c r="H132" s="18">
        <f>IF(ISNUMBER($E132),$E132+$F132+$G132,"")</f>
        <v/>
      </c>
      <c r="I132" s="22">
        <f>IF(ISNUMBER($H132),$D132-$H132,IF(AND($D132&lt;&gt;"",$B132=""),"←売り場を選ぶ",""))</f>
        <v/>
      </c>
      <c r="J132" s="20" t="n"/>
    </row>
    <row r="133">
      <c r="A133" s="19" t="n"/>
      <c r="B133" s="13" t="n"/>
      <c r="C133" s="20" t="n"/>
      <c r="D133" s="21" t="n"/>
      <c r="E133" s="18">
        <f>IF(OR($B133="",$D133=""),"",IFERROR(IF(VLOOKUP($B133,設定!$A$6:$G$10,5,FALSE)="切り上げ",ROUNDUP(ROUND($D133*VLOOKUP($B133,設定!$A$6:$G$10,2,FALSE),6),0),ROUNDDOWN(ROUND($D133*VLOOKUP($B133,設定!$A$6:$G$10,2,FALSE),6),0)),"売り場名?"))</f>
        <v/>
      </c>
      <c r="F133" s="18">
        <f>IF(ISNUMBER($E133),IF(VLOOKUP($B133,設定!$A$6:$G$10,5,FALSE)="切り上げ",ROUNDUP(ROUND(($D133-$E133)*VLOOKUP($B133,設定!$A$6:$G$10,3,FALSE),6),0),ROUNDDOWN(ROUND(($D133-$E133)*VLOOKUP($B133,設定!$A$6:$G$10,3,FALSE),6),0)),"")</f>
        <v/>
      </c>
      <c r="G133" s="18">
        <f>IF(ISNUMBER($E133),VLOOKUP($B133,設定!$A$6:$G$10,4,FALSE),"")</f>
        <v/>
      </c>
      <c r="H133" s="18">
        <f>IF(ISNUMBER($E133),$E133+$F133+$G133,"")</f>
        <v/>
      </c>
      <c r="I133" s="22">
        <f>IF(ISNUMBER($H133),$D133-$H133,IF(AND($D133&lt;&gt;"",$B133=""),"←売り場を選ぶ",""))</f>
        <v/>
      </c>
      <c r="J133" s="20" t="n"/>
    </row>
    <row r="134">
      <c r="A134" s="19" t="n"/>
      <c r="B134" s="13" t="n"/>
      <c r="C134" s="20" t="n"/>
      <c r="D134" s="21" t="n"/>
      <c r="E134" s="18">
        <f>IF(OR($B134="",$D134=""),"",IFERROR(IF(VLOOKUP($B134,設定!$A$6:$G$10,5,FALSE)="切り上げ",ROUNDUP(ROUND($D134*VLOOKUP($B134,設定!$A$6:$G$10,2,FALSE),6),0),ROUNDDOWN(ROUND($D134*VLOOKUP($B134,設定!$A$6:$G$10,2,FALSE),6),0)),"売り場名?"))</f>
        <v/>
      </c>
      <c r="F134" s="18">
        <f>IF(ISNUMBER($E134),IF(VLOOKUP($B134,設定!$A$6:$G$10,5,FALSE)="切り上げ",ROUNDUP(ROUND(($D134-$E134)*VLOOKUP($B134,設定!$A$6:$G$10,3,FALSE),6),0),ROUNDDOWN(ROUND(($D134-$E134)*VLOOKUP($B134,設定!$A$6:$G$10,3,FALSE),6),0)),"")</f>
        <v/>
      </c>
      <c r="G134" s="18">
        <f>IF(ISNUMBER($E134),VLOOKUP($B134,設定!$A$6:$G$10,4,FALSE),"")</f>
        <v/>
      </c>
      <c r="H134" s="18">
        <f>IF(ISNUMBER($E134),$E134+$F134+$G134,"")</f>
        <v/>
      </c>
      <c r="I134" s="22">
        <f>IF(ISNUMBER($H134),$D134-$H134,IF(AND($D134&lt;&gt;"",$B134=""),"←売り場を選ぶ",""))</f>
        <v/>
      </c>
      <c r="J134" s="20" t="n"/>
    </row>
    <row r="135">
      <c r="A135" s="19" t="n"/>
      <c r="B135" s="13" t="n"/>
      <c r="C135" s="20" t="n"/>
      <c r="D135" s="21" t="n"/>
      <c r="E135" s="18">
        <f>IF(OR($B135="",$D135=""),"",IFERROR(IF(VLOOKUP($B135,設定!$A$6:$G$10,5,FALSE)="切り上げ",ROUNDUP(ROUND($D135*VLOOKUP($B135,設定!$A$6:$G$10,2,FALSE),6),0),ROUNDDOWN(ROUND($D135*VLOOKUP($B135,設定!$A$6:$G$10,2,FALSE),6),0)),"売り場名?"))</f>
        <v/>
      </c>
      <c r="F135" s="18">
        <f>IF(ISNUMBER($E135),IF(VLOOKUP($B135,設定!$A$6:$G$10,5,FALSE)="切り上げ",ROUNDUP(ROUND(($D135-$E135)*VLOOKUP($B135,設定!$A$6:$G$10,3,FALSE),6),0),ROUNDDOWN(ROUND(($D135-$E135)*VLOOKUP($B135,設定!$A$6:$G$10,3,FALSE),6),0)),"")</f>
        <v/>
      </c>
      <c r="G135" s="18">
        <f>IF(ISNUMBER($E135),VLOOKUP($B135,設定!$A$6:$G$10,4,FALSE),"")</f>
        <v/>
      </c>
      <c r="H135" s="18">
        <f>IF(ISNUMBER($E135),$E135+$F135+$G135,"")</f>
        <v/>
      </c>
      <c r="I135" s="22">
        <f>IF(ISNUMBER($H135),$D135-$H135,IF(AND($D135&lt;&gt;"",$B135=""),"←売り場を選ぶ",""))</f>
        <v/>
      </c>
      <c r="J135" s="20" t="n"/>
    </row>
    <row r="136">
      <c r="A136" s="19" t="n"/>
      <c r="B136" s="13" t="n"/>
      <c r="C136" s="20" t="n"/>
      <c r="D136" s="21" t="n"/>
      <c r="E136" s="18">
        <f>IF(OR($B136="",$D136=""),"",IFERROR(IF(VLOOKUP($B136,設定!$A$6:$G$10,5,FALSE)="切り上げ",ROUNDUP(ROUND($D136*VLOOKUP($B136,設定!$A$6:$G$10,2,FALSE),6),0),ROUNDDOWN(ROUND($D136*VLOOKUP($B136,設定!$A$6:$G$10,2,FALSE),6),0)),"売り場名?"))</f>
        <v/>
      </c>
      <c r="F136" s="18">
        <f>IF(ISNUMBER($E136),IF(VLOOKUP($B136,設定!$A$6:$G$10,5,FALSE)="切り上げ",ROUNDUP(ROUND(($D136-$E136)*VLOOKUP($B136,設定!$A$6:$G$10,3,FALSE),6),0),ROUNDDOWN(ROUND(($D136-$E136)*VLOOKUP($B136,設定!$A$6:$G$10,3,FALSE),6),0)),"")</f>
        <v/>
      </c>
      <c r="G136" s="18">
        <f>IF(ISNUMBER($E136),VLOOKUP($B136,設定!$A$6:$G$10,4,FALSE),"")</f>
        <v/>
      </c>
      <c r="H136" s="18">
        <f>IF(ISNUMBER($E136),$E136+$F136+$G136,"")</f>
        <v/>
      </c>
      <c r="I136" s="22">
        <f>IF(ISNUMBER($H136),$D136-$H136,IF(AND($D136&lt;&gt;"",$B136=""),"←売り場を選ぶ",""))</f>
        <v/>
      </c>
      <c r="J136" s="20" t="n"/>
    </row>
    <row r="137">
      <c r="A137" s="19" t="n"/>
      <c r="B137" s="13" t="n"/>
      <c r="C137" s="20" t="n"/>
      <c r="D137" s="21" t="n"/>
      <c r="E137" s="18">
        <f>IF(OR($B137="",$D137=""),"",IFERROR(IF(VLOOKUP($B137,設定!$A$6:$G$10,5,FALSE)="切り上げ",ROUNDUP(ROUND($D137*VLOOKUP($B137,設定!$A$6:$G$10,2,FALSE),6),0),ROUNDDOWN(ROUND($D137*VLOOKUP($B137,設定!$A$6:$G$10,2,FALSE),6),0)),"売り場名?"))</f>
        <v/>
      </c>
      <c r="F137" s="18">
        <f>IF(ISNUMBER($E137),IF(VLOOKUP($B137,設定!$A$6:$G$10,5,FALSE)="切り上げ",ROUNDUP(ROUND(($D137-$E137)*VLOOKUP($B137,設定!$A$6:$G$10,3,FALSE),6),0),ROUNDDOWN(ROUND(($D137-$E137)*VLOOKUP($B137,設定!$A$6:$G$10,3,FALSE),6),0)),"")</f>
        <v/>
      </c>
      <c r="G137" s="18">
        <f>IF(ISNUMBER($E137),VLOOKUP($B137,設定!$A$6:$G$10,4,FALSE),"")</f>
        <v/>
      </c>
      <c r="H137" s="18">
        <f>IF(ISNUMBER($E137),$E137+$F137+$G137,"")</f>
        <v/>
      </c>
      <c r="I137" s="22">
        <f>IF(ISNUMBER($H137),$D137-$H137,IF(AND($D137&lt;&gt;"",$B137=""),"←売り場を選ぶ",""))</f>
        <v/>
      </c>
      <c r="J137" s="20" t="n"/>
    </row>
    <row r="138">
      <c r="A138" s="19" t="n"/>
      <c r="B138" s="13" t="n"/>
      <c r="C138" s="20" t="n"/>
      <c r="D138" s="21" t="n"/>
      <c r="E138" s="18">
        <f>IF(OR($B138="",$D138=""),"",IFERROR(IF(VLOOKUP($B138,設定!$A$6:$G$10,5,FALSE)="切り上げ",ROUNDUP(ROUND($D138*VLOOKUP($B138,設定!$A$6:$G$10,2,FALSE),6),0),ROUNDDOWN(ROUND($D138*VLOOKUP($B138,設定!$A$6:$G$10,2,FALSE),6),0)),"売り場名?"))</f>
        <v/>
      </c>
      <c r="F138" s="18">
        <f>IF(ISNUMBER($E138),IF(VLOOKUP($B138,設定!$A$6:$G$10,5,FALSE)="切り上げ",ROUNDUP(ROUND(($D138-$E138)*VLOOKUP($B138,設定!$A$6:$G$10,3,FALSE),6),0),ROUNDDOWN(ROUND(($D138-$E138)*VLOOKUP($B138,設定!$A$6:$G$10,3,FALSE),6),0)),"")</f>
        <v/>
      </c>
      <c r="G138" s="18">
        <f>IF(ISNUMBER($E138),VLOOKUP($B138,設定!$A$6:$G$10,4,FALSE),"")</f>
        <v/>
      </c>
      <c r="H138" s="18">
        <f>IF(ISNUMBER($E138),$E138+$F138+$G138,"")</f>
        <v/>
      </c>
      <c r="I138" s="22">
        <f>IF(ISNUMBER($H138),$D138-$H138,IF(AND($D138&lt;&gt;"",$B138=""),"←売り場を選ぶ",""))</f>
        <v/>
      </c>
      <c r="J138" s="20" t="n"/>
    </row>
    <row r="139">
      <c r="A139" s="19" t="n"/>
      <c r="B139" s="13" t="n"/>
      <c r="C139" s="20" t="n"/>
      <c r="D139" s="21" t="n"/>
      <c r="E139" s="18">
        <f>IF(OR($B139="",$D139=""),"",IFERROR(IF(VLOOKUP($B139,設定!$A$6:$G$10,5,FALSE)="切り上げ",ROUNDUP(ROUND($D139*VLOOKUP($B139,設定!$A$6:$G$10,2,FALSE),6),0),ROUNDDOWN(ROUND($D139*VLOOKUP($B139,設定!$A$6:$G$10,2,FALSE),6),0)),"売り場名?"))</f>
        <v/>
      </c>
      <c r="F139" s="18">
        <f>IF(ISNUMBER($E139),IF(VLOOKUP($B139,設定!$A$6:$G$10,5,FALSE)="切り上げ",ROUNDUP(ROUND(($D139-$E139)*VLOOKUP($B139,設定!$A$6:$G$10,3,FALSE),6),0),ROUNDDOWN(ROUND(($D139-$E139)*VLOOKUP($B139,設定!$A$6:$G$10,3,FALSE),6),0)),"")</f>
        <v/>
      </c>
      <c r="G139" s="18">
        <f>IF(ISNUMBER($E139),VLOOKUP($B139,設定!$A$6:$G$10,4,FALSE),"")</f>
        <v/>
      </c>
      <c r="H139" s="18">
        <f>IF(ISNUMBER($E139),$E139+$F139+$G139,"")</f>
        <v/>
      </c>
      <c r="I139" s="22">
        <f>IF(ISNUMBER($H139),$D139-$H139,IF(AND($D139&lt;&gt;"",$B139=""),"←売り場を選ぶ",""))</f>
        <v/>
      </c>
      <c r="J139" s="20" t="n"/>
    </row>
    <row r="140">
      <c r="A140" s="19" t="n"/>
      <c r="B140" s="13" t="n"/>
      <c r="C140" s="20" t="n"/>
      <c r="D140" s="21" t="n"/>
      <c r="E140" s="18">
        <f>IF(OR($B140="",$D140=""),"",IFERROR(IF(VLOOKUP($B140,設定!$A$6:$G$10,5,FALSE)="切り上げ",ROUNDUP(ROUND($D140*VLOOKUP($B140,設定!$A$6:$G$10,2,FALSE),6),0),ROUNDDOWN(ROUND($D140*VLOOKUP($B140,設定!$A$6:$G$10,2,FALSE),6),0)),"売り場名?"))</f>
        <v/>
      </c>
      <c r="F140" s="18">
        <f>IF(ISNUMBER($E140),IF(VLOOKUP($B140,設定!$A$6:$G$10,5,FALSE)="切り上げ",ROUNDUP(ROUND(($D140-$E140)*VLOOKUP($B140,設定!$A$6:$G$10,3,FALSE),6),0),ROUNDDOWN(ROUND(($D140-$E140)*VLOOKUP($B140,設定!$A$6:$G$10,3,FALSE),6),0)),"")</f>
        <v/>
      </c>
      <c r="G140" s="18">
        <f>IF(ISNUMBER($E140),VLOOKUP($B140,設定!$A$6:$G$10,4,FALSE),"")</f>
        <v/>
      </c>
      <c r="H140" s="18">
        <f>IF(ISNUMBER($E140),$E140+$F140+$G140,"")</f>
        <v/>
      </c>
      <c r="I140" s="22">
        <f>IF(ISNUMBER($H140),$D140-$H140,IF(AND($D140&lt;&gt;"",$B140=""),"←売り場を選ぶ",""))</f>
        <v/>
      </c>
      <c r="J140" s="20" t="n"/>
    </row>
    <row r="141">
      <c r="A141" s="19" t="n"/>
      <c r="B141" s="13" t="n"/>
      <c r="C141" s="20" t="n"/>
      <c r="D141" s="21" t="n"/>
      <c r="E141" s="18">
        <f>IF(OR($B141="",$D141=""),"",IFERROR(IF(VLOOKUP($B141,設定!$A$6:$G$10,5,FALSE)="切り上げ",ROUNDUP(ROUND($D141*VLOOKUP($B141,設定!$A$6:$G$10,2,FALSE),6),0),ROUNDDOWN(ROUND($D141*VLOOKUP($B141,設定!$A$6:$G$10,2,FALSE),6),0)),"売り場名?"))</f>
        <v/>
      </c>
      <c r="F141" s="18">
        <f>IF(ISNUMBER($E141),IF(VLOOKUP($B141,設定!$A$6:$G$10,5,FALSE)="切り上げ",ROUNDUP(ROUND(($D141-$E141)*VLOOKUP($B141,設定!$A$6:$G$10,3,FALSE),6),0),ROUNDDOWN(ROUND(($D141-$E141)*VLOOKUP($B141,設定!$A$6:$G$10,3,FALSE),6),0)),"")</f>
        <v/>
      </c>
      <c r="G141" s="18">
        <f>IF(ISNUMBER($E141),VLOOKUP($B141,設定!$A$6:$G$10,4,FALSE),"")</f>
        <v/>
      </c>
      <c r="H141" s="18">
        <f>IF(ISNUMBER($E141),$E141+$F141+$G141,"")</f>
        <v/>
      </c>
      <c r="I141" s="22">
        <f>IF(ISNUMBER($H141),$D141-$H141,IF(AND($D141&lt;&gt;"",$B141=""),"←売り場を選ぶ",""))</f>
        <v/>
      </c>
      <c r="J141" s="20" t="n"/>
    </row>
    <row r="142">
      <c r="A142" s="19" t="n"/>
      <c r="B142" s="13" t="n"/>
      <c r="C142" s="20" t="n"/>
      <c r="D142" s="21" t="n"/>
      <c r="E142" s="18">
        <f>IF(OR($B142="",$D142=""),"",IFERROR(IF(VLOOKUP($B142,設定!$A$6:$G$10,5,FALSE)="切り上げ",ROUNDUP(ROUND($D142*VLOOKUP($B142,設定!$A$6:$G$10,2,FALSE),6),0),ROUNDDOWN(ROUND($D142*VLOOKUP($B142,設定!$A$6:$G$10,2,FALSE),6),0)),"売り場名?"))</f>
        <v/>
      </c>
      <c r="F142" s="18">
        <f>IF(ISNUMBER($E142),IF(VLOOKUP($B142,設定!$A$6:$G$10,5,FALSE)="切り上げ",ROUNDUP(ROUND(($D142-$E142)*VLOOKUP($B142,設定!$A$6:$G$10,3,FALSE),6),0),ROUNDDOWN(ROUND(($D142-$E142)*VLOOKUP($B142,設定!$A$6:$G$10,3,FALSE),6),0)),"")</f>
        <v/>
      </c>
      <c r="G142" s="18">
        <f>IF(ISNUMBER($E142),VLOOKUP($B142,設定!$A$6:$G$10,4,FALSE),"")</f>
        <v/>
      </c>
      <c r="H142" s="18">
        <f>IF(ISNUMBER($E142),$E142+$F142+$G142,"")</f>
        <v/>
      </c>
      <c r="I142" s="22">
        <f>IF(ISNUMBER($H142),$D142-$H142,IF(AND($D142&lt;&gt;"",$B142=""),"←売り場を選ぶ",""))</f>
        <v/>
      </c>
      <c r="J142" s="20" t="n"/>
    </row>
    <row r="143">
      <c r="A143" s="19" t="n"/>
      <c r="B143" s="13" t="n"/>
      <c r="C143" s="20" t="n"/>
      <c r="D143" s="21" t="n"/>
      <c r="E143" s="18">
        <f>IF(OR($B143="",$D143=""),"",IFERROR(IF(VLOOKUP($B143,設定!$A$6:$G$10,5,FALSE)="切り上げ",ROUNDUP(ROUND($D143*VLOOKUP($B143,設定!$A$6:$G$10,2,FALSE),6),0),ROUNDDOWN(ROUND($D143*VLOOKUP($B143,設定!$A$6:$G$10,2,FALSE),6),0)),"売り場名?"))</f>
        <v/>
      </c>
      <c r="F143" s="18">
        <f>IF(ISNUMBER($E143),IF(VLOOKUP($B143,設定!$A$6:$G$10,5,FALSE)="切り上げ",ROUNDUP(ROUND(($D143-$E143)*VLOOKUP($B143,設定!$A$6:$G$10,3,FALSE),6),0),ROUNDDOWN(ROUND(($D143-$E143)*VLOOKUP($B143,設定!$A$6:$G$10,3,FALSE),6),0)),"")</f>
        <v/>
      </c>
      <c r="G143" s="18">
        <f>IF(ISNUMBER($E143),VLOOKUP($B143,設定!$A$6:$G$10,4,FALSE),"")</f>
        <v/>
      </c>
      <c r="H143" s="18">
        <f>IF(ISNUMBER($E143),$E143+$F143+$G143,"")</f>
        <v/>
      </c>
      <c r="I143" s="22">
        <f>IF(ISNUMBER($H143),$D143-$H143,IF(AND($D143&lt;&gt;"",$B143=""),"←売り場を選ぶ",""))</f>
        <v/>
      </c>
      <c r="J143" s="20" t="n"/>
    </row>
    <row r="144">
      <c r="A144" s="19" t="n"/>
      <c r="B144" s="13" t="n"/>
      <c r="C144" s="20" t="n"/>
      <c r="D144" s="21" t="n"/>
      <c r="E144" s="18">
        <f>IF(OR($B144="",$D144=""),"",IFERROR(IF(VLOOKUP($B144,設定!$A$6:$G$10,5,FALSE)="切り上げ",ROUNDUP(ROUND($D144*VLOOKUP($B144,設定!$A$6:$G$10,2,FALSE),6),0),ROUNDDOWN(ROUND($D144*VLOOKUP($B144,設定!$A$6:$G$10,2,FALSE),6),0)),"売り場名?"))</f>
        <v/>
      </c>
      <c r="F144" s="18">
        <f>IF(ISNUMBER($E144),IF(VLOOKUP($B144,設定!$A$6:$G$10,5,FALSE)="切り上げ",ROUNDUP(ROUND(($D144-$E144)*VLOOKUP($B144,設定!$A$6:$G$10,3,FALSE),6),0),ROUNDDOWN(ROUND(($D144-$E144)*VLOOKUP($B144,設定!$A$6:$G$10,3,FALSE),6),0)),"")</f>
        <v/>
      </c>
      <c r="G144" s="18">
        <f>IF(ISNUMBER($E144),VLOOKUP($B144,設定!$A$6:$G$10,4,FALSE),"")</f>
        <v/>
      </c>
      <c r="H144" s="18">
        <f>IF(ISNUMBER($E144),$E144+$F144+$G144,"")</f>
        <v/>
      </c>
      <c r="I144" s="22">
        <f>IF(ISNUMBER($H144),$D144-$H144,IF(AND($D144&lt;&gt;"",$B144=""),"←売り場を選ぶ",""))</f>
        <v/>
      </c>
      <c r="J144" s="20" t="n"/>
    </row>
    <row r="145">
      <c r="A145" s="19" t="n"/>
      <c r="B145" s="13" t="n"/>
      <c r="C145" s="20" t="n"/>
      <c r="D145" s="21" t="n"/>
      <c r="E145" s="18">
        <f>IF(OR($B145="",$D145=""),"",IFERROR(IF(VLOOKUP($B145,設定!$A$6:$G$10,5,FALSE)="切り上げ",ROUNDUP(ROUND($D145*VLOOKUP($B145,設定!$A$6:$G$10,2,FALSE),6),0),ROUNDDOWN(ROUND($D145*VLOOKUP($B145,設定!$A$6:$G$10,2,FALSE),6),0)),"売り場名?"))</f>
        <v/>
      </c>
      <c r="F145" s="18">
        <f>IF(ISNUMBER($E145),IF(VLOOKUP($B145,設定!$A$6:$G$10,5,FALSE)="切り上げ",ROUNDUP(ROUND(($D145-$E145)*VLOOKUP($B145,設定!$A$6:$G$10,3,FALSE),6),0),ROUNDDOWN(ROUND(($D145-$E145)*VLOOKUP($B145,設定!$A$6:$G$10,3,FALSE),6),0)),"")</f>
        <v/>
      </c>
      <c r="G145" s="18">
        <f>IF(ISNUMBER($E145),VLOOKUP($B145,設定!$A$6:$G$10,4,FALSE),"")</f>
        <v/>
      </c>
      <c r="H145" s="18">
        <f>IF(ISNUMBER($E145),$E145+$F145+$G145,"")</f>
        <v/>
      </c>
      <c r="I145" s="22">
        <f>IF(ISNUMBER($H145),$D145-$H145,IF(AND($D145&lt;&gt;"",$B145=""),"←売り場を選ぶ",""))</f>
        <v/>
      </c>
      <c r="J145" s="20" t="n"/>
    </row>
    <row r="146">
      <c r="A146" s="19" t="n"/>
      <c r="B146" s="13" t="n"/>
      <c r="C146" s="20" t="n"/>
      <c r="D146" s="21" t="n"/>
      <c r="E146" s="18">
        <f>IF(OR($B146="",$D146=""),"",IFERROR(IF(VLOOKUP($B146,設定!$A$6:$G$10,5,FALSE)="切り上げ",ROUNDUP(ROUND($D146*VLOOKUP($B146,設定!$A$6:$G$10,2,FALSE),6),0),ROUNDDOWN(ROUND($D146*VLOOKUP($B146,設定!$A$6:$G$10,2,FALSE),6),0)),"売り場名?"))</f>
        <v/>
      </c>
      <c r="F146" s="18">
        <f>IF(ISNUMBER($E146),IF(VLOOKUP($B146,設定!$A$6:$G$10,5,FALSE)="切り上げ",ROUNDUP(ROUND(($D146-$E146)*VLOOKUP($B146,設定!$A$6:$G$10,3,FALSE),6),0),ROUNDDOWN(ROUND(($D146-$E146)*VLOOKUP($B146,設定!$A$6:$G$10,3,FALSE),6),0)),"")</f>
        <v/>
      </c>
      <c r="G146" s="18">
        <f>IF(ISNUMBER($E146),VLOOKUP($B146,設定!$A$6:$G$10,4,FALSE),"")</f>
        <v/>
      </c>
      <c r="H146" s="18">
        <f>IF(ISNUMBER($E146),$E146+$F146+$G146,"")</f>
        <v/>
      </c>
      <c r="I146" s="22">
        <f>IF(ISNUMBER($H146),$D146-$H146,IF(AND($D146&lt;&gt;"",$B146=""),"←売り場を選ぶ",""))</f>
        <v/>
      </c>
      <c r="J146" s="20" t="n"/>
    </row>
    <row r="147">
      <c r="A147" s="19" t="n"/>
      <c r="B147" s="13" t="n"/>
      <c r="C147" s="20" t="n"/>
      <c r="D147" s="21" t="n"/>
      <c r="E147" s="18">
        <f>IF(OR($B147="",$D147=""),"",IFERROR(IF(VLOOKUP($B147,設定!$A$6:$G$10,5,FALSE)="切り上げ",ROUNDUP(ROUND($D147*VLOOKUP($B147,設定!$A$6:$G$10,2,FALSE),6),0),ROUNDDOWN(ROUND($D147*VLOOKUP($B147,設定!$A$6:$G$10,2,FALSE),6),0)),"売り場名?"))</f>
        <v/>
      </c>
      <c r="F147" s="18">
        <f>IF(ISNUMBER($E147),IF(VLOOKUP($B147,設定!$A$6:$G$10,5,FALSE)="切り上げ",ROUNDUP(ROUND(($D147-$E147)*VLOOKUP($B147,設定!$A$6:$G$10,3,FALSE),6),0),ROUNDDOWN(ROUND(($D147-$E147)*VLOOKUP($B147,設定!$A$6:$G$10,3,FALSE),6),0)),"")</f>
        <v/>
      </c>
      <c r="G147" s="18">
        <f>IF(ISNUMBER($E147),VLOOKUP($B147,設定!$A$6:$G$10,4,FALSE),"")</f>
        <v/>
      </c>
      <c r="H147" s="18">
        <f>IF(ISNUMBER($E147),$E147+$F147+$G147,"")</f>
        <v/>
      </c>
      <c r="I147" s="22">
        <f>IF(ISNUMBER($H147),$D147-$H147,IF(AND($D147&lt;&gt;"",$B147=""),"←売り場を選ぶ",""))</f>
        <v/>
      </c>
      <c r="J147" s="20" t="n"/>
    </row>
    <row r="148">
      <c r="A148" s="19" t="n"/>
      <c r="B148" s="13" t="n"/>
      <c r="C148" s="20" t="n"/>
      <c r="D148" s="21" t="n"/>
      <c r="E148" s="18">
        <f>IF(OR($B148="",$D148=""),"",IFERROR(IF(VLOOKUP($B148,設定!$A$6:$G$10,5,FALSE)="切り上げ",ROUNDUP(ROUND($D148*VLOOKUP($B148,設定!$A$6:$G$10,2,FALSE),6),0),ROUNDDOWN(ROUND($D148*VLOOKUP($B148,設定!$A$6:$G$10,2,FALSE),6),0)),"売り場名?"))</f>
        <v/>
      </c>
      <c r="F148" s="18">
        <f>IF(ISNUMBER($E148),IF(VLOOKUP($B148,設定!$A$6:$G$10,5,FALSE)="切り上げ",ROUNDUP(ROUND(($D148-$E148)*VLOOKUP($B148,設定!$A$6:$G$10,3,FALSE),6),0),ROUNDDOWN(ROUND(($D148-$E148)*VLOOKUP($B148,設定!$A$6:$G$10,3,FALSE),6),0)),"")</f>
        <v/>
      </c>
      <c r="G148" s="18">
        <f>IF(ISNUMBER($E148),VLOOKUP($B148,設定!$A$6:$G$10,4,FALSE),"")</f>
        <v/>
      </c>
      <c r="H148" s="18">
        <f>IF(ISNUMBER($E148),$E148+$F148+$G148,"")</f>
        <v/>
      </c>
      <c r="I148" s="22">
        <f>IF(ISNUMBER($H148),$D148-$H148,IF(AND($D148&lt;&gt;"",$B148=""),"←売り場を選ぶ",""))</f>
        <v/>
      </c>
      <c r="J148" s="20" t="n"/>
    </row>
    <row r="149">
      <c r="A149" s="19" t="n"/>
      <c r="B149" s="13" t="n"/>
      <c r="C149" s="20" t="n"/>
      <c r="D149" s="21" t="n"/>
      <c r="E149" s="18">
        <f>IF(OR($B149="",$D149=""),"",IFERROR(IF(VLOOKUP($B149,設定!$A$6:$G$10,5,FALSE)="切り上げ",ROUNDUP(ROUND($D149*VLOOKUP($B149,設定!$A$6:$G$10,2,FALSE),6),0),ROUNDDOWN(ROUND($D149*VLOOKUP($B149,設定!$A$6:$G$10,2,FALSE),6),0)),"売り場名?"))</f>
        <v/>
      </c>
      <c r="F149" s="18">
        <f>IF(ISNUMBER($E149),IF(VLOOKUP($B149,設定!$A$6:$G$10,5,FALSE)="切り上げ",ROUNDUP(ROUND(($D149-$E149)*VLOOKUP($B149,設定!$A$6:$G$10,3,FALSE),6),0),ROUNDDOWN(ROUND(($D149-$E149)*VLOOKUP($B149,設定!$A$6:$G$10,3,FALSE),6),0)),"")</f>
        <v/>
      </c>
      <c r="G149" s="18">
        <f>IF(ISNUMBER($E149),VLOOKUP($B149,設定!$A$6:$G$10,4,FALSE),"")</f>
        <v/>
      </c>
      <c r="H149" s="18">
        <f>IF(ISNUMBER($E149),$E149+$F149+$G149,"")</f>
        <v/>
      </c>
      <c r="I149" s="22">
        <f>IF(ISNUMBER($H149),$D149-$H149,IF(AND($D149&lt;&gt;"",$B149=""),"←売り場を選ぶ",""))</f>
        <v/>
      </c>
      <c r="J149" s="20" t="n"/>
    </row>
    <row r="150">
      <c r="A150" s="19" t="n"/>
      <c r="B150" s="13" t="n"/>
      <c r="C150" s="20" t="n"/>
      <c r="D150" s="21" t="n"/>
      <c r="E150" s="18">
        <f>IF(OR($B150="",$D150=""),"",IFERROR(IF(VLOOKUP($B150,設定!$A$6:$G$10,5,FALSE)="切り上げ",ROUNDUP(ROUND($D150*VLOOKUP($B150,設定!$A$6:$G$10,2,FALSE),6),0),ROUNDDOWN(ROUND($D150*VLOOKUP($B150,設定!$A$6:$G$10,2,FALSE),6),0)),"売り場名?"))</f>
        <v/>
      </c>
      <c r="F150" s="18">
        <f>IF(ISNUMBER($E150),IF(VLOOKUP($B150,設定!$A$6:$G$10,5,FALSE)="切り上げ",ROUNDUP(ROUND(($D150-$E150)*VLOOKUP($B150,設定!$A$6:$G$10,3,FALSE),6),0),ROUNDDOWN(ROUND(($D150-$E150)*VLOOKUP($B150,設定!$A$6:$G$10,3,FALSE),6),0)),"")</f>
        <v/>
      </c>
      <c r="G150" s="18">
        <f>IF(ISNUMBER($E150),VLOOKUP($B150,設定!$A$6:$G$10,4,FALSE),"")</f>
        <v/>
      </c>
      <c r="H150" s="18">
        <f>IF(ISNUMBER($E150),$E150+$F150+$G150,"")</f>
        <v/>
      </c>
      <c r="I150" s="22">
        <f>IF(ISNUMBER($H150),$D150-$H150,IF(AND($D150&lt;&gt;"",$B150=""),"←売り場を選ぶ",""))</f>
        <v/>
      </c>
      <c r="J150" s="20" t="n"/>
    </row>
    <row r="151">
      <c r="A151" s="19" t="n"/>
      <c r="B151" s="13" t="n"/>
      <c r="C151" s="20" t="n"/>
      <c r="D151" s="21" t="n"/>
      <c r="E151" s="18">
        <f>IF(OR($B151="",$D151=""),"",IFERROR(IF(VLOOKUP($B151,設定!$A$6:$G$10,5,FALSE)="切り上げ",ROUNDUP(ROUND($D151*VLOOKUP($B151,設定!$A$6:$G$10,2,FALSE),6),0),ROUNDDOWN(ROUND($D151*VLOOKUP($B151,設定!$A$6:$G$10,2,FALSE),6),0)),"売り場名?"))</f>
        <v/>
      </c>
      <c r="F151" s="18">
        <f>IF(ISNUMBER($E151),IF(VLOOKUP($B151,設定!$A$6:$G$10,5,FALSE)="切り上げ",ROUNDUP(ROUND(($D151-$E151)*VLOOKUP($B151,設定!$A$6:$G$10,3,FALSE),6),0),ROUNDDOWN(ROUND(($D151-$E151)*VLOOKUP($B151,設定!$A$6:$G$10,3,FALSE),6),0)),"")</f>
        <v/>
      </c>
      <c r="G151" s="18">
        <f>IF(ISNUMBER($E151),VLOOKUP($B151,設定!$A$6:$G$10,4,FALSE),"")</f>
        <v/>
      </c>
      <c r="H151" s="18">
        <f>IF(ISNUMBER($E151),$E151+$F151+$G151,"")</f>
        <v/>
      </c>
      <c r="I151" s="22">
        <f>IF(ISNUMBER($H151),$D151-$H151,IF(AND($D151&lt;&gt;"",$B151=""),"←売り場を選ぶ",""))</f>
        <v/>
      </c>
      <c r="J151" s="20" t="n"/>
    </row>
    <row r="152">
      <c r="A152" s="19" t="n"/>
      <c r="B152" s="13" t="n"/>
      <c r="C152" s="20" t="n"/>
      <c r="D152" s="21" t="n"/>
      <c r="E152" s="18">
        <f>IF(OR($B152="",$D152=""),"",IFERROR(IF(VLOOKUP($B152,設定!$A$6:$G$10,5,FALSE)="切り上げ",ROUNDUP(ROUND($D152*VLOOKUP($B152,設定!$A$6:$G$10,2,FALSE),6),0),ROUNDDOWN(ROUND($D152*VLOOKUP($B152,設定!$A$6:$G$10,2,FALSE),6),0)),"売り場名?"))</f>
        <v/>
      </c>
      <c r="F152" s="18">
        <f>IF(ISNUMBER($E152),IF(VLOOKUP($B152,設定!$A$6:$G$10,5,FALSE)="切り上げ",ROUNDUP(ROUND(($D152-$E152)*VLOOKUP($B152,設定!$A$6:$G$10,3,FALSE),6),0),ROUNDDOWN(ROUND(($D152-$E152)*VLOOKUP($B152,設定!$A$6:$G$10,3,FALSE),6),0)),"")</f>
        <v/>
      </c>
      <c r="G152" s="18">
        <f>IF(ISNUMBER($E152),VLOOKUP($B152,設定!$A$6:$G$10,4,FALSE),"")</f>
        <v/>
      </c>
      <c r="H152" s="18">
        <f>IF(ISNUMBER($E152),$E152+$F152+$G152,"")</f>
        <v/>
      </c>
      <c r="I152" s="22">
        <f>IF(ISNUMBER($H152),$D152-$H152,IF(AND($D152&lt;&gt;"",$B152=""),"←売り場を選ぶ",""))</f>
        <v/>
      </c>
      <c r="J152" s="20" t="n"/>
    </row>
    <row r="153">
      <c r="A153" s="19" t="n"/>
      <c r="B153" s="13" t="n"/>
      <c r="C153" s="20" t="n"/>
      <c r="D153" s="21" t="n"/>
      <c r="E153" s="18">
        <f>IF(OR($B153="",$D153=""),"",IFERROR(IF(VLOOKUP($B153,設定!$A$6:$G$10,5,FALSE)="切り上げ",ROUNDUP(ROUND($D153*VLOOKUP($B153,設定!$A$6:$G$10,2,FALSE),6),0),ROUNDDOWN(ROUND($D153*VLOOKUP($B153,設定!$A$6:$G$10,2,FALSE),6),0)),"売り場名?"))</f>
        <v/>
      </c>
      <c r="F153" s="18">
        <f>IF(ISNUMBER($E153),IF(VLOOKUP($B153,設定!$A$6:$G$10,5,FALSE)="切り上げ",ROUNDUP(ROUND(($D153-$E153)*VLOOKUP($B153,設定!$A$6:$G$10,3,FALSE),6),0),ROUNDDOWN(ROUND(($D153-$E153)*VLOOKUP($B153,設定!$A$6:$G$10,3,FALSE),6),0)),"")</f>
        <v/>
      </c>
      <c r="G153" s="18">
        <f>IF(ISNUMBER($E153),VLOOKUP($B153,設定!$A$6:$G$10,4,FALSE),"")</f>
        <v/>
      </c>
      <c r="H153" s="18">
        <f>IF(ISNUMBER($E153),$E153+$F153+$G153,"")</f>
        <v/>
      </c>
      <c r="I153" s="22">
        <f>IF(ISNUMBER($H153),$D153-$H153,IF(AND($D153&lt;&gt;"",$B153=""),"←売り場を選ぶ",""))</f>
        <v/>
      </c>
      <c r="J153" s="20" t="n"/>
    </row>
    <row r="154">
      <c r="A154" s="19" t="n"/>
      <c r="B154" s="13" t="n"/>
      <c r="C154" s="20" t="n"/>
      <c r="D154" s="21" t="n"/>
      <c r="E154" s="18">
        <f>IF(OR($B154="",$D154=""),"",IFERROR(IF(VLOOKUP($B154,設定!$A$6:$G$10,5,FALSE)="切り上げ",ROUNDUP(ROUND($D154*VLOOKUP($B154,設定!$A$6:$G$10,2,FALSE),6),0),ROUNDDOWN(ROUND($D154*VLOOKUP($B154,設定!$A$6:$G$10,2,FALSE),6),0)),"売り場名?"))</f>
        <v/>
      </c>
      <c r="F154" s="18">
        <f>IF(ISNUMBER($E154),IF(VLOOKUP($B154,設定!$A$6:$G$10,5,FALSE)="切り上げ",ROUNDUP(ROUND(($D154-$E154)*VLOOKUP($B154,設定!$A$6:$G$10,3,FALSE),6),0),ROUNDDOWN(ROUND(($D154-$E154)*VLOOKUP($B154,設定!$A$6:$G$10,3,FALSE),6),0)),"")</f>
        <v/>
      </c>
      <c r="G154" s="18">
        <f>IF(ISNUMBER($E154),VLOOKUP($B154,設定!$A$6:$G$10,4,FALSE),"")</f>
        <v/>
      </c>
      <c r="H154" s="18">
        <f>IF(ISNUMBER($E154),$E154+$F154+$G154,"")</f>
        <v/>
      </c>
      <c r="I154" s="22">
        <f>IF(ISNUMBER($H154),$D154-$H154,IF(AND($D154&lt;&gt;"",$B154=""),"←売り場を選ぶ",""))</f>
        <v/>
      </c>
      <c r="J154" s="20" t="n"/>
    </row>
    <row r="155">
      <c r="A155" s="19" t="n"/>
      <c r="B155" s="13" t="n"/>
      <c r="C155" s="20" t="n"/>
      <c r="D155" s="21" t="n"/>
      <c r="E155" s="18">
        <f>IF(OR($B155="",$D155=""),"",IFERROR(IF(VLOOKUP($B155,設定!$A$6:$G$10,5,FALSE)="切り上げ",ROUNDUP(ROUND($D155*VLOOKUP($B155,設定!$A$6:$G$10,2,FALSE),6),0),ROUNDDOWN(ROUND($D155*VLOOKUP($B155,設定!$A$6:$G$10,2,FALSE),6),0)),"売り場名?"))</f>
        <v/>
      </c>
      <c r="F155" s="18">
        <f>IF(ISNUMBER($E155),IF(VLOOKUP($B155,設定!$A$6:$G$10,5,FALSE)="切り上げ",ROUNDUP(ROUND(($D155-$E155)*VLOOKUP($B155,設定!$A$6:$G$10,3,FALSE),6),0),ROUNDDOWN(ROUND(($D155-$E155)*VLOOKUP($B155,設定!$A$6:$G$10,3,FALSE),6),0)),"")</f>
        <v/>
      </c>
      <c r="G155" s="18">
        <f>IF(ISNUMBER($E155),VLOOKUP($B155,設定!$A$6:$G$10,4,FALSE),"")</f>
        <v/>
      </c>
      <c r="H155" s="18">
        <f>IF(ISNUMBER($E155),$E155+$F155+$G155,"")</f>
        <v/>
      </c>
      <c r="I155" s="22">
        <f>IF(ISNUMBER($H155),$D155-$H155,IF(AND($D155&lt;&gt;"",$B155=""),"←売り場を選ぶ",""))</f>
        <v/>
      </c>
      <c r="J155" s="20" t="n"/>
    </row>
    <row r="156">
      <c r="A156" s="19" t="n"/>
      <c r="B156" s="13" t="n"/>
      <c r="C156" s="20" t="n"/>
      <c r="D156" s="21" t="n"/>
      <c r="E156" s="18">
        <f>IF(OR($B156="",$D156=""),"",IFERROR(IF(VLOOKUP($B156,設定!$A$6:$G$10,5,FALSE)="切り上げ",ROUNDUP(ROUND($D156*VLOOKUP($B156,設定!$A$6:$G$10,2,FALSE),6),0),ROUNDDOWN(ROUND($D156*VLOOKUP($B156,設定!$A$6:$G$10,2,FALSE),6),0)),"売り場名?"))</f>
        <v/>
      </c>
      <c r="F156" s="18">
        <f>IF(ISNUMBER($E156),IF(VLOOKUP($B156,設定!$A$6:$G$10,5,FALSE)="切り上げ",ROUNDUP(ROUND(($D156-$E156)*VLOOKUP($B156,設定!$A$6:$G$10,3,FALSE),6),0),ROUNDDOWN(ROUND(($D156-$E156)*VLOOKUP($B156,設定!$A$6:$G$10,3,FALSE),6),0)),"")</f>
        <v/>
      </c>
      <c r="G156" s="18">
        <f>IF(ISNUMBER($E156),VLOOKUP($B156,設定!$A$6:$G$10,4,FALSE),"")</f>
        <v/>
      </c>
      <c r="H156" s="18">
        <f>IF(ISNUMBER($E156),$E156+$F156+$G156,"")</f>
        <v/>
      </c>
      <c r="I156" s="22">
        <f>IF(ISNUMBER($H156),$D156-$H156,IF(AND($D156&lt;&gt;"",$B156=""),"←売り場を選ぶ",""))</f>
        <v/>
      </c>
      <c r="J156" s="20" t="n"/>
    </row>
    <row r="157">
      <c r="A157" s="19" t="n"/>
      <c r="B157" s="13" t="n"/>
      <c r="C157" s="20" t="n"/>
      <c r="D157" s="21" t="n"/>
      <c r="E157" s="18">
        <f>IF(OR($B157="",$D157=""),"",IFERROR(IF(VLOOKUP($B157,設定!$A$6:$G$10,5,FALSE)="切り上げ",ROUNDUP(ROUND($D157*VLOOKUP($B157,設定!$A$6:$G$10,2,FALSE),6),0),ROUNDDOWN(ROUND($D157*VLOOKUP($B157,設定!$A$6:$G$10,2,FALSE),6),0)),"売り場名?"))</f>
        <v/>
      </c>
      <c r="F157" s="18">
        <f>IF(ISNUMBER($E157),IF(VLOOKUP($B157,設定!$A$6:$G$10,5,FALSE)="切り上げ",ROUNDUP(ROUND(($D157-$E157)*VLOOKUP($B157,設定!$A$6:$G$10,3,FALSE),6),0),ROUNDDOWN(ROUND(($D157-$E157)*VLOOKUP($B157,設定!$A$6:$G$10,3,FALSE),6),0)),"")</f>
        <v/>
      </c>
      <c r="G157" s="18">
        <f>IF(ISNUMBER($E157),VLOOKUP($B157,設定!$A$6:$G$10,4,FALSE),"")</f>
        <v/>
      </c>
      <c r="H157" s="18">
        <f>IF(ISNUMBER($E157),$E157+$F157+$G157,"")</f>
        <v/>
      </c>
      <c r="I157" s="22">
        <f>IF(ISNUMBER($H157),$D157-$H157,IF(AND($D157&lt;&gt;"",$B157=""),"←売り場を選ぶ",""))</f>
        <v/>
      </c>
      <c r="J157" s="20" t="n"/>
    </row>
    <row r="158">
      <c r="A158" s="19" t="n"/>
      <c r="B158" s="13" t="n"/>
      <c r="C158" s="20" t="n"/>
      <c r="D158" s="21" t="n"/>
      <c r="E158" s="18">
        <f>IF(OR($B158="",$D158=""),"",IFERROR(IF(VLOOKUP($B158,設定!$A$6:$G$10,5,FALSE)="切り上げ",ROUNDUP(ROUND($D158*VLOOKUP($B158,設定!$A$6:$G$10,2,FALSE),6),0),ROUNDDOWN(ROUND($D158*VLOOKUP($B158,設定!$A$6:$G$10,2,FALSE),6),0)),"売り場名?"))</f>
        <v/>
      </c>
      <c r="F158" s="18">
        <f>IF(ISNUMBER($E158),IF(VLOOKUP($B158,設定!$A$6:$G$10,5,FALSE)="切り上げ",ROUNDUP(ROUND(($D158-$E158)*VLOOKUP($B158,設定!$A$6:$G$10,3,FALSE),6),0),ROUNDDOWN(ROUND(($D158-$E158)*VLOOKUP($B158,設定!$A$6:$G$10,3,FALSE),6),0)),"")</f>
        <v/>
      </c>
      <c r="G158" s="18">
        <f>IF(ISNUMBER($E158),VLOOKUP($B158,設定!$A$6:$G$10,4,FALSE),"")</f>
        <v/>
      </c>
      <c r="H158" s="18">
        <f>IF(ISNUMBER($E158),$E158+$F158+$G158,"")</f>
        <v/>
      </c>
      <c r="I158" s="22">
        <f>IF(ISNUMBER($H158),$D158-$H158,IF(AND($D158&lt;&gt;"",$B158=""),"←売り場を選ぶ",""))</f>
        <v/>
      </c>
      <c r="J158" s="20" t="n"/>
    </row>
    <row r="159">
      <c r="A159" s="19" t="n"/>
      <c r="B159" s="13" t="n"/>
      <c r="C159" s="20" t="n"/>
      <c r="D159" s="21" t="n"/>
      <c r="E159" s="18">
        <f>IF(OR($B159="",$D159=""),"",IFERROR(IF(VLOOKUP($B159,設定!$A$6:$G$10,5,FALSE)="切り上げ",ROUNDUP(ROUND($D159*VLOOKUP($B159,設定!$A$6:$G$10,2,FALSE),6),0),ROUNDDOWN(ROUND($D159*VLOOKUP($B159,設定!$A$6:$G$10,2,FALSE),6),0)),"売り場名?"))</f>
        <v/>
      </c>
      <c r="F159" s="18">
        <f>IF(ISNUMBER($E159),IF(VLOOKUP($B159,設定!$A$6:$G$10,5,FALSE)="切り上げ",ROUNDUP(ROUND(($D159-$E159)*VLOOKUP($B159,設定!$A$6:$G$10,3,FALSE),6),0),ROUNDDOWN(ROUND(($D159-$E159)*VLOOKUP($B159,設定!$A$6:$G$10,3,FALSE),6),0)),"")</f>
        <v/>
      </c>
      <c r="G159" s="18">
        <f>IF(ISNUMBER($E159),VLOOKUP($B159,設定!$A$6:$G$10,4,FALSE),"")</f>
        <v/>
      </c>
      <c r="H159" s="18">
        <f>IF(ISNUMBER($E159),$E159+$F159+$G159,"")</f>
        <v/>
      </c>
      <c r="I159" s="22">
        <f>IF(ISNUMBER($H159),$D159-$H159,IF(AND($D159&lt;&gt;"",$B159=""),"←売り場を選ぶ",""))</f>
        <v/>
      </c>
      <c r="J159" s="20" t="n"/>
    </row>
    <row r="160">
      <c r="A160" s="19" t="n"/>
      <c r="B160" s="13" t="n"/>
      <c r="C160" s="20" t="n"/>
      <c r="D160" s="21" t="n"/>
      <c r="E160" s="18">
        <f>IF(OR($B160="",$D160=""),"",IFERROR(IF(VLOOKUP($B160,設定!$A$6:$G$10,5,FALSE)="切り上げ",ROUNDUP(ROUND($D160*VLOOKUP($B160,設定!$A$6:$G$10,2,FALSE),6),0),ROUNDDOWN(ROUND($D160*VLOOKUP($B160,設定!$A$6:$G$10,2,FALSE),6),0)),"売り場名?"))</f>
        <v/>
      </c>
      <c r="F160" s="18">
        <f>IF(ISNUMBER($E160),IF(VLOOKUP($B160,設定!$A$6:$G$10,5,FALSE)="切り上げ",ROUNDUP(ROUND(($D160-$E160)*VLOOKUP($B160,設定!$A$6:$G$10,3,FALSE),6),0),ROUNDDOWN(ROUND(($D160-$E160)*VLOOKUP($B160,設定!$A$6:$G$10,3,FALSE),6),0)),"")</f>
        <v/>
      </c>
      <c r="G160" s="18">
        <f>IF(ISNUMBER($E160),VLOOKUP($B160,設定!$A$6:$G$10,4,FALSE),"")</f>
        <v/>
      </c>
      <c r="H160" s="18">
        <f>IF(ISNUMBER($E160),$E160+$F160+$G160,"")</f>
        <v/>
      </c>
      <c r="I160" s="22">
        <f>IF(ISNUMBER($H160),$D160-$H160,IF(AND($D160&lt;&gt;"",$B160=""),"←売り場を選ぶ",""))</f>
        <v/>
      </c>
      <c r="J160" s="20" t="n"/>
    </row>
    <row r="161">
      <c r="A161" s="19" t="n"/>
      <c r="B161" s="13" t="n"/>
      <c r="C161" s="20" t="n"/>
      <c r="D161" s="21" t="n"/>
      <c r="E161" s="18">
        <f>IF(OR($B161="",$D161=""),"",IFERROR(IF(VLOOKUP($B161,設定!$A$6:$G$10,5,FALSE)="切り上げ",ROUNDUP(ROUND($D161*VLOOKUP($B161,設定!$A$6:$G$10,2,FALSE),6),0),ROUNDDOWN(ROUND($D161*VLOOKUP($B161,設定!$A$6:$G$10,2,FALSE),6),0)),"売り場名?"))</f>
        <v/>
      </c>
      <c r="F161" s="18">
        <f>IF(ISNUMBER($E161),IF(VLOOKUP($B161,設定!$A$6:$G$10,5,FALSE)="切り上げ",ROUNDUP(ROUND(($D161-$E161)*VLOOKUP($B161,設定!$A$6:$G$10,3,FALSE),6),0),ROUNDDOWN(ROUND(($D161-$E161)*VLOOKUP($B161,設定!$A$6:$G$10,3,FALSE),6),0)),"")</f>
        <v/>
      </c>
      <c r="G161" s="18">
        <f>IF(ISNUMBER($E161),VLOOKUP($B161,設定!$A$6:$G$10,4,FALSE),"")</f>
        <v/>
      </c>
      <c r="H161" s="18">
        <f>IF(ISNUMBER($E161),$E161+$F161+$G161,"")</f>
        <v/>
      </c>
      <c r="I161" s="22">
        <f>IF(ISNUMBER($H161),$D161-$H161,IF(AND($D161&lt;&gt;"",$B161=""),"←売り場を選ぶ",""))</f>
        <v/>
      </c>
      <c r="J161" s="20" t="n"/>
    </row>
    <row r="162">
      <c r="A162" s="19" t="n"/>
      <c r="B162" s="13" t="n"/>
      <c r="C162" s="20" t="n"/>
      <c r="D162" s="21" t="n"/>
      <c r="E162" s="18">
        <f>IF(OR($B162="",$D162=""),"",IFERROR(IF(VLOOKUP($B162,設定!$A$6:$G$10,5,FALSE)="切り上げ",ROUNDUP(ROUND($D162*VLOOKUP($B162,設定!$A$6:$G$10,2,FALSE),6),0),ROUNDDOWN(ROUND($D162*VLOOKUP($B162,設定!$A$6:$G$10,2,FALSE),6),0)),"売り場名?"))</f>
        <v/>
      </c>
      <c r="F162" s="18">
        <f>IF(ISNUMBER($E162),IF(VLOOKUP($B162,設定!$A$6:$G$10,5,FALSE)="切り上げ",ROUNDUP(ROUND(($D162-$E162)*VLOOKUP($B162,設定!$A$6:$G$10,3,FALSE),6),0),ROUNDDOWN(ROUND(($D162-$E162)*VLOOKUP($B162,設定!$A$6:$G$10,3,FALSE),6),0)),"")</f>
        <v/>
      </c>
      <c r="G162" s="18">
        <f>IF(ISNUMBER($E162),VLOOKUP($B162,設定!$A$6:$G$10,4,FALSE),"")</f>
        <v/>
      </c>
      <c r="H162" s="18">
        <f>IF(ISNUMBER($E162),$E162+$F162+$G162,"")</f>
        <v/>
      </c>
      <c r="I162" s="22">
        <f>IF(ISNUMBER($H162),$D162-$H162,IF(AND($D162&lt;&gt;"",$B162=""),"←売り場を選ぶ",""))</f>
        <v/>
      </c>
      <c r="J162" s="20" t="n"/>
    </row>
    <row r="163">
      <c r="A163" s="19" t="n"/>
      <c r="B163" s="13" t="n"/>
      <c r="C163" s="20" t="n"/>
      <c r="D163" s="21" t="n"/>
      <c r="E163" s="18">
        <f>IF(OR($B163="",$D163=""),"",IFERROR(IF(VLOOKUP($B163,設定!$A$6:$G$10,5,FALSE)="切り上げ",ROUNDUP(ROUND($D163*VLOOKUP($B163,設定!$A$6:$G$10,2,FALSE),6),0),ROUNDDOWN(ROUND($D163*VLOOKUP($B163,設定!$A$6:$G$10,2,FALSE),6),0)),"売り場名?"))</f>
        <v/>
      </c>
      <c r="F163" s="18">
        <f>IF(ISNUMBER($E163),IF(VLOOKUP($B163,設定!$A$6:$G$10,5,FALSE)="切り上げ",ROUNDUP(ROUND(($D163-$E163)*VLOOKUP($B163,設定!$A$6:$G$10,3,FALSE),6),0),ROUNDDOWN(ROUND(($D163-$E163)*VLOOKUP($B163,設定!$A$6:$G$10,3,FALSE),6),0)),"")</f>
        <v/>
      </c>
      <c r="G163" s="18">
        <f>IF(ISNUMBER($E163),VLOOKUP($B163,設定!$A$6:$G$10,4,FALSE),"")</f>
        <v/>
      </c>
      <c r="H163" s="18">
        <f>IF(ISNUMBER($E163),$E163+$F163+$G163,"")</f>
        <v/>
      </c>
      <c r="I163" s="22">
        <f>IF(ISNUMBER($H163),$D163-$H163,IF(AND($D163&lt;&gt;"",$B163=""),"←売り場を選ぶ",""))</f>
        <v/>
      </c>
      <c r="J163" s="20" t="n"/>
    </row>
    <row r="164">
      <c r="A164" s="19" t="n"/>
      <c r="B164" s="13" t="n"/>
      <c r="C164" s="20" t="n"/>
      <c r="D164" s="21" t="n"/>
      <c r="E164" s="18">
        <f>IF(OR($B164="",$D164=""),"",IFERROR(IF(VLOOKUP($B164,設定!$A$6:$G$10,5,FALSE)="切り上げ",ROUNDUP(ROUND($D164*VLOOKUP($B164,設定!$A$6:$G$10,2,FALSE),6),0),ROUNDDOWN(ROUND($D164*VLOOKUP($B164,設定!$A$6:$G$10,2,FALSE),6),0)),"売り場名?"))</f>
        <v/>
      </c>
      <c r="F164" s="18">
        <f>IF(ISNUMBER($E164),IF(VLOOKUP($B164,設定!$A$6:$G$10,5,FALSE)="切り上げ",ROUNDUP(ROUND(($D164-$E164)*VLOOKUP($B164,設定!$A$6:$G$10,3,FALSE),6),0),ROUNDDOWN(ROUND(($D164-$E164)*VLOOKUP($B164,設定!$A$6:$G$10,3,FALSE),6),0)),"")</f>
        <v/>
      </c>
      <c r="G164" s="18">
        <f>IF(ISNUMBER($E164),VLOOKUP($B164,設定!$A$6:$G$10,4,FALSE),"")</f>
        <v/>
      </c>
      <c r="H164" s="18">
        <f>IF(ISNUMBER($E164),$E164+$F164+$G164,"")</f>
        <v/>
      </c>
      <c r="I164" s="22">
        <f>IF(ISNUMBER($H164),$D164-$H164,IF(AND($D164&lt;&gt;"",$B164=""),"←売り場を選ぶ",""))</f>
        <v/>
      </c>
      <c r="J164" s="20" t="n"/>
    </row>
    <row r="165">
      <c r="A165" s="19" t="n"/>
      <c r="B165" s="13" t="n"/>
      <c r="C165" s="20" t="n"/>
      <c r="D165" s="21" t="n"/>
      <c r="E165" s="18">
        <f>IF(OR($B165="",$D165=""),"",IFERROR(IF(VLOOKUP($B165,設定!$A$6:$G$10,5,FALSE)="切り上げ",ROUNDUP(ROUND($D165*VLOOKUP($B165,設定!$A$6:$G$10,2,FALSE),6),0),ROUNDDOWN(ROUND($D165*VLOOKUP($B165,設定!$A$6:$G$10,2,FALSE),6),0)),"売り場名?"))</f>
        <v/>
      </c>
      <c r="F165" s="18">
        <f>IF(ISNUMBER($E165),IF(VLOOKUP($B165,設定!$A$6:$G$10,5,FALSE)="切り上げ",ROUNDUP(ROUND(($D165-$E165)*VLOOKUP($B165,設定!$A$6:$G$10,3,FALSE),6),0),ROUNDDOWN(ROUND(($D165-$E165)*VLOOKUP($B165,設定!$A$6:$G$10,3,FALSE),6),0)),"")</f>
        <v/>
      </c>
      <c r="G165" s="18">
        <f>IF(ISNUMBER($E165),VLOOKUP($B165,設定!$A$6:$G$10,4,FALSE),"")</f>
        <v/>
      </c>
      <c r="H165" s="18">
        <f>IF(ISNUMBER($E165),$E165+$F165+$G165,"")</f>
        <v/>
      </c>
      <c r="I165" s="22">
        <f>IF(ISNUMBER($H165),$D165-$H165,IF(AND($D165&lt;&gt;"",$B165=""),"←売り場を選ぶ",""))</f>
        <v/>
      </c>
      <c r="J165" s="20" t="n"/>
    </row>
    <row r="166">
      <c r="A166" s="19" t="n"/>
      <c r="B166" s="13" t="n"/>
      <c r="C166" s="20" t="n"/>
      <c r="D166" s="21" t="n"/>
      <c r="E166" s="18">
        <f>IF(OR($B166="",$D166=""),"",IFERROR(IF(VLOOKUP($B166,設定!$A$6:$G$10,5,FALSE)="切り上げ",ROUNDUP(ROUND($D166*VLOOKUP($B166,設定!$A$6:$G$10,2,FALSE),6),0),ROUNDDOWN(ROUND($D166*VLOOKUP($B166,設定!$A$6:$G$10,2,FALSE),6),0)),"売り場名?"))</f>
        <v/>
      </c>
      <c r="F166" s="18">
        <f>IF(ISNUMBER($E166),IF(VLOOKUP($B166,設定!$A$6:$G$10,5,FALSE)="切り上げ",ROUNDUP(ROUND(($D166-$E166)*VLOOKUP($B166,設定!$A$6:$G$10,3,FALSE),6),0),ROUNDDOWN(ROUND(($D166-$E166)*VLOOKUP($B166,設定!$A$6:$G$10,3,FALSE),6),0)),"")</f>
        <v/>
      </c>
      <c r="G166" s="18">
        <f>IF(ISNUMBER($E166),VLOOKUP($B166,設定!$A$6:$G$10,4,FALSE),"")</f>
        <v/>
      </c>
      <c r="H166" s="18">
        <f>IF(ISNUMBER($E166),$E166+$F166+$G166,"")</f>
        <v/>
      </c>
      <c r="I166" s="22">
        <f>IF(ISNUMBER($H166),$D166-$H166,IF(AND($D166&lt;&gt;"",$B166=""),"←売り場を選ぶ",""))</f>
        <v/>
      </c>
      <c r="J166" s="20" t="n"/>
    </row>
    <row r="167">
      <c r="A167" s="19" t="n"/>
      <c r="B167" s="13" t="n"/>
      <c r="C167" s="20" t="n"/>
      <c r="D167" s="21" t="n"/>
      <c r="E167" s="18">
        <f>IF(OR($B167="",$D167=""),"",IFERROR(IF(VLOOKUP($B167,設定!$A$6:$G$10,5,FALSE)="切り上げ",ROUNDUP(ROUND($D167*VLOOKUP($B167,設定!$A$6:$G$10,2,FALSE),6),0),ROUNDDOWN(ROUND($D167*VLOOKUP($B167,設定!$A$6:$G$10,2,FALSE),6),0)),"売り場名?"))</f>
        <v/>
      </c>
      <c r="F167" s="18">
        <f>IF(ISNUMBER($E167),IF(VLOOKUP($B167,設定!$A$6:$G$10,5,FALSE)="切り上げ",ROUNDUP(ROUND(($D167-$E167)*VLOOKUP($B167,設定!$A$6:$G$10,3,FALSE),6),0),ROUNDDOWN(ROUND(($D167-$E167)*VLOOKUP($B167,設定!$A$6:$G$10,3,FALSE),6),0)),"")</f>
        <v/>
      </c>
      <c r="G167" s="18">
        <f>IF(ISNUMBER($E167),VLOOKUP($B167,設定!$A$6:$G$10,4,FALSE),"")</f>
        <v/>
      </c>
      <c r="H167" s="18">
        <f>IF(ISNUMBER($E167),$E167+$F167+$G167,"")</f>
        <v/>
      </c>
      <c r="I167" s="22">
        <f>IF(ISNUMBER($H167),$D167-$H167,IF(AND($D167&lt;&gt;"",$B167=""),"←売り場を選ぶ",""))</f>
        <v/>
      </c>
      <c r="J167" s="20" t="n"/>
    </row>
    <row r="168">
      <c r="A168" s="19" t="n"/>
      <c r="B168" s="13" t="n"/>
      <c r="C168" s="20" t="n"/>
      <c r="D168" s="21" t="n"/>
      <c r="E168" s="18">
        <f>IF(OR($B168="",$D168=""),"",IFERROR(IF(VLOOKUP($B168,設定!$A$6:$G$10,5,FALSE)="切り上げ",ROUNDUP(ROUND($D168*VLOOKUP($B168,設定!$A$6:$G$10,2,FALSE),6),0),ROUNDDOWN(ROUND($D168*VLOOKUP($B168,設定!$A$6:$G$10,2,FALSE),6),0)),"売り場名?"))</f>
        <v/>
      </c>
      <c r="F168" s="18">
        <f>IF(ISNUMBER($E168),IF(VLOOKUP($B168,設定!$A$6:$G$10,5,FALSE)="切り上げ",ROUNDUP(ROUND(($D168-$E168)*VLOOKUP($B168,設定!$A$6:$G$10,3,FALSE),6),0),ROUNDDOWN(ROUND(($D168-$E168)*VLOOKUP($B168,設定!$A$6:$G$10,3,FALSE),6),0)),"")</f>
        <v/>
      </c>
      <c r="G168" s="18">
        <f>IF(ISNUMBER($E168),VLOOKUP($B168,設定!$A$6:$G$10,4,FALSE),"")</f>
        <v/>
      </c>
      <c r="H168" s="18">
        <f>IF(ISNUMBER($E168),$E168+$F168+$G168,"")</f>
        <v/>
      </c>
      <c r="I168" s="22">
        <f>IF(ISNUMBER($H168),$D168-$H168,IF(AND($D168&lt;&gt;"",$B168=""),"←売り場を選ぶ",""))</f>
        <v/>
      </c>
      <c r="J168" s="20" t="n"/>
    </row>
    <row r="169">
      <c r="A169" s="19" t="n"/>
      <c r="B169" s="13" t="n"/>
      <c r="C169" s="20" t="n"/>
      <c r="D169" s="21" t="n"/>
      <c r="E169" s="18">
        <f>IF(OR($B169="",$D169=""),"",IFERROR(IF(VLOOKUP($B169,設定!$A$6:$G$10,5,FALSE)="切り上げ",ROUNDUP(ROUND($D169*VLOOKUP($B169,設定!$A$6:$G$10,2,FALSE),6),0),ROUNDDOWN(ROUND($D169*VLOOKUP($B169,設定!$A$6:$G$10,2,FALSE),6),0)),"売り場名?"))</f>
        <v/>
      </c>
      <c r="F169" s="18">
        <f>IF(ISNUMBER($E169),IF(VLOOKUP($B169,設定!$A$6:$G$10,5,FALSE)="切り上げ",ROUNDUP(ROUND(($D169-$E169)*VLOOKUP($B169,設定!$A$6:$G$10,3,FALSE),6),0),ROUNDDOWN(ROUND(($D169-$E169)*VLOOKUP($B169,設定!$A$6:$G$10,3,FALSE),6),0)),"")</f>
        <v/>
      </c>
      <c r="G169" s="18">
        <f>IF(ISNUMBER($E169),VLOOKUP($B169,設定!$A$6:$G$10,4,FALSE),"")</f>
        <v/>
      </c>
      <c r="H169" s="18">
        <f>IF(ISNUMBER($E169),$E169+$F169+$G169,"")</f>
        <v/>
      </c>
      <c r="I169" s="22">
        <f>IF(ISNUMBER($H169),$D169-$H169,IF(AND($D169&lt;&gt;"",$B169=""),"←売り場を選ぶ",""))</f>
        <v/>
      </c>
      <c r="J169" s="20" t="n"/>
    </row>
    <row r="170">
      <c r="A170" s="19" t="n"/>
      <c r="B170" s="13" t="n"/>
      <c r="C170" s="20" t="n"/>
      <c r="D170" s="21" t="n"/>
      <c r="E170" s="18">
        <f>IF(OR($B170="",$D170=""),"",IFERROR(IF(VLOOKUP($B170,設定!$A$6:$G$10,5,FALSE)="切り上げ",ROUNDUP(ROUND($D170*VLOOKUP($B170,設定!$A$6:$G$10,2,FALSE),6),0),ROUNDDOWN(ROUND($D170*VLOOKUP($B170,設定!$A$6:$G$10,2,FALSE),6),0)),"売り場名?"))</f>
        <v/>
      </c>
      <c r="F170" s="18">
        <f>IF(ISNUMBER($E170),IF(VLOOKUP($B170,設定!$A$6:$G$10,5,FALSE)="切り上げ",ROUNDUP(ROUND(($D170-$E170)*VLOOKUP($B170,設定!$A$6:$G$10,3,FALSE),6),0),ROUNDDOWN(ROUND(($D170-$E170)*VLOOKUP($B170,設定!$A$6:$G$10,3,FALSE),6),0)),"")</f>
        <v/>
      </c>
      <c r="G170" s="18">
        <f>IF(ISNUMBER($E170),VLOOKUP($B170,設定!$A$6:$G$10,4,FALSE),"")</f>
        <v/>
      </c>
      <c r="H170" s="18">
        <f>IF(ISNUMBER($E170),$E170+$F170+$G170,"")</f>
        <v/>
      </c>
      <c r="I170" s="22">
        <f>IF(ISNUMBER($H170),$D170-$H170,IF(AND($D170&lt;&gt;"",$B170=""),"←売り場を選ぶ",""))</f>
        <v/>
      </c>
      <c r="J170" s="20" t="n"/>
    </row>
    <row r="171">
      <c r="A171" s="19" t="n"/>
      <c r="B171" s="13" t="n"/>
      <c r="C171" s="20" t="n"/>
      <c r="D171" s="21" t="n"/>
      <c r="E171" s="18">
        <f>IF(OR($B171="",$D171=""),"",IFERROR(IF(VLOOKUP($B171,設定!$A$6:$G$10,5,FALSE)="切り上げ",ROUNDUP(ROUND($D171*VLOOKUP($B171,設定!$A$6:$G$10,2,FALSE),6),0),ROUNDDOWN(ROUND($D171*VLOOKUP($B171,設定!$A$6:$G$10,2,FALSE),6),0)),"売り場名?"))</f>
        <v/>
      </c>
      <c r="F171" s="18">
        <f>IF(ISNUMBER($E171),IF(VLOOKUP($B171,設定!$A$6:$G$10,5,FALSE)="切り上げ",ROUNDUP(ROUND(($D171-$E171)*VLOOKUP($B171,設定!$A$6:$G$10,3,FALSE),6),0),ROUNDDOWN(ROUND(($D171-$E171)*VLOOKUP($B171,設定!$A$6:$G$10,3,FALSE),6),0)),"")</f>
        <v/>
      </c>
      <c r="G171" s="18">
        <f>IF(ISNUMBER($E171),VLOOKUP($B171,設定!$A$6:$G$10,4,FALSE),"")</f>
        <v/>
      </c>
      <c r="H171" s="18">
        <f>IF(ISNUMBER($E171),$E171+$F171+$G171,"")</f>
        <v/>
      </c>
      <c r="I171" s="22">
        <f>IF(ISNUMBER($H171),$D171-$H171,IF(AND($D171&lt;&gt;"",$B171=""),"←売り場を選ぶ",""))</f>
        <v/>
      </c>
      <c r="J171" s="20" t="n"/>
    </row>
    <row r="172">
      <c r="A172" s="19" t="n"/>
      <c r="B172" s="13" t="n"/>
      <c r="C172" s="20" t="n"/>
      <c r="D172" s="21" t="n"/>
      <c r="E172" s="18">
        <f>IF(OR($B172="",$D172=""),"",IFERROR(IF(VLOOKUP($B172,設定!$A$6:$G$10,5,FALSE)="切り上げ",ROUNDUP(ROUND($D172*VLOOKUP($B172,設定!$A$6:$G$10,2,FALSE),6),0),ROUNDDOWN(ROUND($D172*VLOOKUP($B172,設定!$A$6:$G$10,2,FALSE),6),0)),"売り場名?"))</f>
        <v/>
      </c>
      <c r="F172" s="18">
        <f>IF(ISNUMBER($E172),IF(VLOOKUP($B172,設定!$A$6:$G$10,5,FALSE)="切り上げ",ROUNDUP(ROUND(($D172-$E172)*VLOOKUP($B172,設定!$A$6:$G$10,3,FALSE),6),0),ROUNDDOWN(ROUND(($D172-$E172)*VLOOKUP($B172,設定!$A$6:$G$10,3,FALSE),6),0)),"")</f>
        <v/>
      </c>
      <c r="G172" s="18">
        <f>IF(ISNUMBER($E172),VLOOKUP($B172,設定!$A$6:$G$10,4,FALSE),"")</f>
        <v/>
      </c>
      <c r="H172" s="18">
        <f>IF(ISNUMBER($E172),$E172+$F172+$G172,"")</f>
        <v/>
      </c>
      <c r="I172" s="22">
        <f>IF(ISNUMBER($H172),$D172-$H172,IF(AND($D172&lt;&gt;"",$B172=""),"←売り場を選ぶ",""))</f>
        <v/>
      </c>
      <c r="J172" s="20" t="n"/>
    </row>
    <row r="173">
      <c r="A173" s="19" t="n"/>
      <c r="B173" s="13" t="n"/>
      <c r="C173" s="20" t="n"/>
      <c r="D173" s="21" t="n"/>
      <c r="E173" s="18">
        <f>IF(OR($B173="",$D173=""),"",IFERROR(IF(VLOOKUP($B173,設定!$A$6:$G$10,5,FALSE)="切り上げ",ROUNDUP(ROUND($D173*VLOOKUP($B173,設定!$A$6:$G$10,2,FALSE),6),0),ROUNDDOWN(ROUND($D173*VLOOKUP($B173,設定!$A$6:$G$10,2,FALSE),6),0)),"売り場名?"))</f>
        <v/>
      </c>
      <c r="F173" s="18">
        <f>IF(ISNUMBER($E173),IF(VLOOKUP($B173,設定!$A$6:$G$10,5,FALSE)="切り上げ",ROUNDUP(ROUND(($D173-$E173)*VLOOKUP($B173,設定!$A$6:$G$10,3,FALSE),6),0),ROUNDDOWN(ROUND(($D173-$E173)*VLOOKUP($B173,設定!$A$6:$G$10,3,FALSE),6),0)),"")</f>
        <v/>
      </c>
      <c r="G173" s="18">
        <f>IF(ISNUMBER($E173),VLOOKUP($B173,設定!$A$6:$G$10,4,FALSE),"")</f>
        <v/>
      </c>
      <c r="H173" s="18">
        <f>IF(ISNUMBER($E173),$E173+$F173+$G173,"")</f>
        <v/>
      </c>
      <c r="I173" s="22">
        <f>IF(ISNUMBER($H173),$D173-$H173,IF(AND($D173&lt;&gt;"",$B173=""),"←売り場を選ぶ",""))</f>
        <v/>
      </c>
      <c r="J173" s="20" t="n"/>
    </row>
    <row r="174">
      <c r="A174" s="19" t="n"/>
      <c r="B174" s="13" t="n"/>
      <c r="C174" s="20" t="n"/>
      <c r="D174" s="21" t="n"/>
      <c r="E174" s="18">
        <f>IF(OR($B174="",$D174=""),"",IFERROR(IF(VLOOKUP($B174,設定!$A$6:$G$10,5,FALSE)="切り上げ",ROUNDUP(ROUND($D174*VLOOKUP($B174,設定!$A$6:$G$10,2,FALSE),6),0),ROUNDDOWN(ROUND($D174*VLOOKUP($B174,設定!$A$6:$G$10,2,FALSE),6),0)),"売り場名?"))</f>
        <v/>
      </c>
      <c r="F174" s="18">
        <f>IF(ISNUMBER($E174),IF(VLOOKUP($B174,設定!$A$6:$G$10,5,FALSE)="切り上げ",ROUNDUP(ROUND(($D174-$E174)*VLOOKUP($B174,設定!$A$6:$G$10,3,FALSE),6),0),ROUNDDOWN(ROUND(($D174-$E174)*VLOOKUP($B174,設定!$A$6:$G$10,3,FALSE),6),0)),"")</f>
        <v/>
      </c>
      <c r="G174" s="18">
        <f>IF(ISNUMBER($E174),VLOOKUP($B174,設定!$A$6:$G$10,4,FALSE),"")</f>
        <v/>
      </c>
      <c r="H174" s="18">
        <f>IF(ISNUMBER($E174),$E174+$F174+$G174,"")</f>
        <v/>
      </c>
      <c r="I174" s="22">
        <f>IF(ISNUMBER($H174),$D174-$H174,IF(AND($D174&lt;&gt;"",$B174=""),"←売り場を選ぶ",""))</f>
        <v/>
      </c>
      <c r="J174" s="20" t="n"/>
    </row>
    <row r="175">
      <c r="A175" s="19" t="n"/>
      <c r="B175" s="13" t="n"/>
      <c r="C175" s="20" t="n"/>
      <c r="D175" s="21" t="n"/>
      <c r="E175" s="18">
        <f>IF(OR($B175="",$D175=""),"",IFERROR(IF(VLOOKUP($B175,設定!$A$6:$G$10,5,FALSE)="切り上げ",ROUNDUP(ROUND($D175*VLOOKUP($B175,設定!$A$6:$G$10,2,FALSE),6),0),ROUNDDOWN(ROUND($D175*VLOOKUP($B175,設定!$A$6:$G$10,2,FALSE),6),0)),"売り場名?"))</f>
        <v/>
      </c>
      <c r="F175" s="18">
        <f>IF(ISNUMBER($E175),IF(VLOOKUP($B175,設定!$A$6:$G$10,5,FALSE)="切り上げ",ROUNDUP(ROUND(($D175-$E175)*VLOOKUP($B175,設定!$A$6:$G$10,3,FALSE),6),0),ROUNDDOWN(ROUND(($D175-$E175)*VLOOKUP($B175,設定!$A$6:$G$10,3,FALSE),6),0)),"")</f>
        <v/>
      </c>
      <c r="G175" s="18">
        <f>IF(ISNUMBER($E175),VLOOKUP($B175,設定!$A$6:$G$10,4,FALSE),"")</f>
        <v/>
      </c>
      <c r="H175" s="18">
        <f>IF(ISNUMBER($E175),$E175+$F175+$G175,"")</f>
        <v/>
      </c>
      <c r="I175" s="22">
        <f>IF(ISNUMBER($H175),$D175-$H175,IF(AND($D175&lt;&gt;"",$B175=""),"←売り場を選ぶ",""))</f>
        <v/>
      </c>
      <c r="J175" s="20" t="n"/>
    </row>
    <row r="176">
      <c r="A176" s="19" t="n"/>
      <c r="B176" s="13" t="n"/>
      <c r="C176" s="20" t="n"/>
      <c r="D176" s="21" t="n"/>
      <c r="E176" s="18">
        <f>IF(OR($B176="",$D176=""),"",IFERROR(IF(VLOOKUP($B176,設定!$A$6:$G$10,5,FALSE)="切り上げ",ROUNDUP(ROUND($D176*VLOOKUP($B176,設定!$A$6:$G$10,2,FALSE),6),0),ROUNDDOWN(ROUND($D176*VLOOKUP($B176,設定!$A$6:$G$10,2,FALSE),6),0)),"売り場名?"))</f>
        <v/>
      </c>
      <c r="F176" s="18">
        <f>IF(ISNUMBER($E176),IF(VLOOKUP($B176,設定!$A$6:$G$10,5,FALSE)="切り上げ",ROUNDUP(ROUND(($D176-$E176)*VLOOKUP($B176,設定!$A$6:$G$10,3,FALSE),6),0),ROUNDDOWN(ROUND(($D176-$E176)*VLOOKUP($B176,設定!$A$6:$G$10,3,FALSE),6),0)),"")</f>
        <v/>
      </c>
      <c r="G176" s="18">
        <f>IF(ISNUMBER($E176),VLOOKUP($B176,設定!$A$6:$G$10,4,FALSE),"")</f>
        <v/>
      </c>
      <c r="H176" s="18">
        <f>IF(ISNUMBER($E176),$E176+$F176+$G176,"")</f>
        <v/>
      </c>
      <c r="I176" s="22">
        <f>IF(ISNUMBER($H176),$D176-$H176,IF(AND($D176&lt;&gt;"",$B176=""),"←売り場を選ぶ",""))</f>
        <v/>
      </c>
      <c r="J176" s="20" t="n"/>
    </row>
    <row r="177">
      <c r="A177" s="19" t="n"/>
      <c r="B177" s="13" t="n"/>
      <c r="C177" s="20" t="n"/>
      <c r="D177" s="21" t="n"/>
      <c r="E177" s="18">
        <f>IF(OR($B177="",$D177=""),"",IFERROR(IF(VLOOKUP($B177,設定!$A$6:$G$10,5,FALSE)="切り上げ",ROUNDUP(ROUND($D177*VLOOKUP($B177,設定!$A$6:$G$10,2,FALSE),6),0),ROUNDDOWN(ROUND($D177*VLOOKUP($B177,設定!$A$6:$G$10,2,FALSE),6),0)),"売り場名?"))</f>
        <v/>
      </c>
      <c r="F177" s="18">
        <f>IF(ISNUMBER($E177),IF(VLOOKUP($B177,設定!$A$6:$G$10,5,FALSE)="切り上げ",ROUNDUP(ROUND(($D177-$E177)*VLOOKUP($B177,設定!$A$6:$G$10,3,FALSE),6),0),ROUNDDOWN(ROUND(($D177-$E177)*VLOOKUP($B177,設定!$A$6:$G$10,3,FALSE),6),0)),"")</f>
        <v/>
      </c>
      <c r="G177" s="18">
        <f>IF(ISNUMBER($E177),VLOOKUP($B177,設定!$A$6:$G$10,4,FALSE),"")</f>
        <v/>
      </c>
      <c r="H177" s="18">
        <f>IF(ISNUMBER($E177),$E177+$F177+$G177,"")</f>
        <v/>
      </c>
      <c r="I177" s="22">
        <f>IF(ISNUMBER($H177),$D177-$H177,IF(AND($D177&lt;&gt;"",$B177=""),"←売り場を選ぶ",""))</f>
        <v/>
      </c>
      <c r="J177" s="20" t="n"/>
    </row>
    <row r="178">
      <c r="A178" s="19" t="n"/>
      <c r="B178" s="13" t="n"/>
      <c r="C178" s="20" t="n"/>
      <c r="D178" s="21" t="n"/>
      <c r="E178" s="18">
        <f>IF(OR($B178="",$D178=""),"",IFERROR(IF(VLOOKUP($B178,設定!$A$6:$G$10,5,FALSE)="切り上げ",ROUNDUP(ROUND($D178*VLOOKUP($B178,設定!$A$6:$G$10,2,FALSE),6),0),ROUNDDOWN(ROUND($D178*VLOOKUP($B178,設定!$A$6:$G$10,2,FALSE),6),0)),"売り場名?"))</f>
        <v/>
      </c>
      <c r="F178" s="18">
        <f>IF(ISNUMBER($E178),IF(VLOOKUP($B178,設定!$A$6:$G$10,5,FALSE)="切り上げ",ROUNDUP(ROUND(($D178-$E178)*VLOOKUP($B178,設定!$A$6:$G$10,3,FALSE),6),0),ROUNDDOWN(ROUND(($D178-$E178)*VLOOKUP($B178,設定!$A$6:$G$10,3,FALSE),6),0)),"")</f>
        <v/>
      </c>
      <c r="G178" s="18">
        <f>IF(ISNUMBER($E178),VLOOKUP($B178,設定!$A$6:$G$10,4,FALSE),"")</f>
        <v/>
      </c>
      <c r="H178" s="18">
        <f>IF(ISNUMBER($E178),$E178+$F178+$G178,"")</f>
        <v/>
      </c>
      <c r="I178" s="22">
        <f>IF(ISNUMBER($H178),$D178-$H178,IF(AND($D178&lt;&gt;"",$B178=""),"←売り場を選ぶ",""))</f>
        <v/>
      </c>
      <c r="J178" s="20" t="n"/>
    </row>
    <row r="179">
      <c r="A179" s="19" t="n"/>
      <c r="B179" s="13" t="n"/>
      <c r="C179" s="20" t="n"/>
      <c r="D179" s="21" t="n"/>
      <c r="E179" s="18">
        <f>IF(OR($B179="",$D179=""),"",IFERROR(IF(VLOOKUP($B179,設定!$A$6:$G$10,5,FALSE)="切り上げ",ROUNDUP(ROUND($D179*VLOOKUP($B179,設定!$A$6:$G$10,2,FALSE),6),0),ROUNDDOWN(ROUND($D179*VLOOKUP($B179,設定!$A$6:$G$10,2,FALSE),6),0)),"売り場名?"))</f>
        <v/>
      </c>
      <c r="F179" s="18">
        <f>IF(ISNUMBER($E179),IF(VLOOKUP($B179,設定!$A$6:$G$10,5,FALSE)="切り上げ",ROUNDUP(ROUND(($D179-$E179)*VLOOKUP($B179,設定!$A$6:$G$10,3,FALSE),6),0),ROUNDDOWN(ROUND(($D179-$E179)*VLOOKUP($B179,設定!$A$6:$G$10,3,FALSE),6),0)),"")</f>
        <v/>
      </c>
      <c r="G179" s="18">
        <f>IF(ISNUMBER($E179),VLOOKUP($B179,設定!$A$6:$G$10,4,FALSE),"")</f>
        <v/>
      </c>
      <c r="H179" s="18">
        <f>IF(ISNUMBER($E179),$E179+$F179+$G179,"")</f>
        <v/>
      </c>
      <c r="I179" s="22">
        <f>IF(ISNUMBER($H179),$D179-$H179,IF(AND($D179&lt;&gt;"",$B179=""),"←売り場を選ぶ",""))</f>
        <v/>
      </c>
      <c r="J179" s="20" t="n"/>
    </row>
    <row r="180">
      <c r="A180" s="19" t="n"/>
      <c r="B180" s="13" t="n"/>
      <c r="C180" s="20" t="n"/>
      <c r="D180" s="21" t="n"/>
      <c r="E180" s="18">
        <f>IF(OR($B180="",$D180=""),"",IFERROR(IF(VLOOKUP($B180,設定!$A$6:$G$10,5,FALSE)="切り上げ",ROUNDUP(ROUND($D180*VLOOKUP($B180,設定!$A$6:$G$10,2,FALSE),6),0),ROUNDDOWN(ROUND($D180*VLOOKUP($B180,設定!$A$6:$G$10,2,FALSE),6),0)),"売り場名?"))</f>
        <v/>
      </c>
      <c r="F180" s="18">
        <f>IF(ISNUMBER($E180),IF(VLOOKUP($B180,設定!$A$6:$G$10,5,FALSE)="切り上げ",ROUNDUP(ROUND(($D180-$E180)*VLOOKUP($B180,設定!$A$6:$G$10,3,FALSE),6),0),ROUNDDOWN(ROUND(($D180-$E180)*VLOOKUP($B180,設定!$A$6:$G$10,3,FALSE),6),0)),"")</f>
        <v/>
      </c>
      <c r="G180" s="18">
        <f>IF(ISNUMBER($E180),VLOOKUP($B180,設定!$A$6:$G$10,4,FALSE),"")</f>
        <v/>
      </c>
      <c r="H180" s="18">
        <f>IF(ISNUMBER($E180),$E180+$F180+$G180,"")</f>
        <v/>
      </c>
      <c r="I180" s="22">
        <f>IF(ISNUMBER($H180),$D180-$H180,IF(AND($D180&lt;&gt;"",$B180=""),"←売り場を選ぶ",""))</f>
        <v/>
      </c>
      <c r="J180" s="20" t="n"/>
    </row>
    <row r="181">
      <c r="A181" s="19" t="n"/>
      <c r="B181" s="13" t="n"/>
      <c r="C181" s="20" t="n"/>
      <c r="D181" s="21" t="n"/>
      <c r="E181" s="18">
        <f>IF(OR($B181="",$D181=""),"",IFERROR(IF(VLOOKUP($B181,設定!$A$6:$G$10,5,FALSE)="切り上げ",ROUNDUP(ROUND($D181*VLOOKUP($B181,設定!$A$6:$G$10,2,FALSE),6),0),ROUNDDOWN(ROUND($D181*VLOOKUP($B181,設定!$A$6:$G$10,2,FALSE),6),0)),"売り場名?"))</f>
        <v/>
      </c>
      <c r="F181" s="18">
        <f>IF(ISNUMBER($E181),IF(VLOOKUP($B181,設定!$A$6:$G$10,5,FALSE)="切り上げ",ROUNDUP(ROUND(($D181-$E181)*VLOOKUP($B181,設定!$A$6:$G$10,3,FALSE),6),0),ROUNDDOWN(ROUND(($D181-$E181)*VLOOKUP($B181,設定!$A$6:$G$10,3,FALSE),6),0)),"")</f>
        <v/>
      </c>
      <c r="G181" s="18">
        <f>IF(ISNUMBER($E181),VLOOKUP($B181,設定!$A$6:$G$10,4,FALSE),"")</f>
        <v/>
      </c>
      <c r="H181" s="18">
        <f>IF(ISNUMBER($E181),$E181+$F181+$G181,"")</f>
        <v/>
      </c>
      <c r="I181" s="22">
        <f>IF(ISNUMBER($H181),$D181-$H181,IF(AND($D181&lt;&gt;"",$B181=""),"←売り場を選ぶ",""))</f>
        <v/>
      </c>
      <c r="J181" s="20" t="n"/>
    </row>
    <row r="182">
      <c r="A182" s="19" t="n"/>
      <c r="B182" s="13" t="n"/>
      <c r="C182" s="20" t="n"/>
      <c r="D182" s="21" t="n"/>
      <c r="E182" s="18">
        <f>IF(OR($B182="",$D182=""),"",IFERROR(IF(VLOOKUP($B182,設定!$A$6:$G$10,5,FALSE)="切り上げ",ROUNDUP(ROUND($D182*VLOOKUP($B182,設定!$A$6:$G$10,2,FALSE),6),0),ROUNDDOWN(ROUND($D182*VLOOKUP($B182,設定!$A$6:$G$10,2,FALSE),6),0)),"売り場名?"))</f>
        <v/>
      </c>
      <c r="F182" s="18">
        <f>IF(ISNUMBER($E182),IF(VLOOKUP($B182,設定!$A$6:$G$10,5,FALSE)="切り上げ",ROUNDUP(ROUND(($D182-$E182)*VLOOKUP($B182,設定!$A$6:$G$10,3,FALSE),6),0),ROUNDDOWN(ROUND(($D182-$E182)*VLOOKUP($B182,設定!$A$6:$G$10,3,FALSE),6),0)),"")</f>
        <v/>
      </c>
      <c r="G182" s="18">
        <f>IF(ISNUMBER($E182),VLOOKUP($B182,設定!$A$6:$G$10,4,FALSE),"")</f>
        <v/>
      </c>
      <c r="H182" s="18">
        <f>IF(ISNUMBER($E182),$E182+$F182+$G182,"")</f>
        <v/>
      </c>
      <c r="I182" s="22">
        <f>IF(ISNUMBER($H182),$D182-$H182,IF(AND($D182&lt;&gt;"",$B182=""),"←売り場を選ぶ",""))</f>
        <v/>
      </c>
      <c r="J182" s="20" t="n"/>
    </row>
    <row r="183">
      <c r="A183" s="19" t="n"/>
      <c r="B183" s="13" t="n"/>
      <c r="C183" s="20" t="n"/>
      <c r="D183" s="21" t="n"/>
      <c r="E183" s="18">
        <f>IF(OR($B183="",$D183=""),"",IFERROR(IF(VLOOKUP($B183,設定!$A$6:$G$10,5,FALSE)="切り上げ",ROUNDUP(ROUND($D183*VLOOKUP($B183,設定!$A$6:$G$10,2,FALSE),6),0),ROUNDDOWN(ROUND($D183*VLOOKUP($B183,設定!$A$6:$G$10,2,FALSE),6),0)),"売り場名?"))</f>
        <v/>
      </c>
      <c r="F183" s="18">
        <f>IF(ISNUMBER($E183),IF(VLOOKUP($B183,設定!$A$6:$G$10,5,FALSE)="切り上げ",ROUNDUP(ROUND(($D183-$E183)*VLOOKUP($B183,設定!$A$6:$G$10,3,FALSE),6),0),ROUNDDOWN(ROUND(($D183-$E183)*VLOOKUP($B183,設定!$A$6:$G$10,3,FALSE),6),0)),"")</f>
        <v/>
      </c>
      <c r="G183" s="18">
        <f>IF(ISNUMBER($E183),VLOOKUP($B183,設定!$A$6:$G$10,4,FALSE),"")</f>
        <v/>
      </c>
      <c r="H183" s="18">
        <f>IF(ISNUMBER($E183),$E183+$F183+$G183,"")</f>
        <v/>
      </c>
      <c r="I183" s="22">
        <f>IF(ISNUMBER($H183),$D183-$H183,IF(AND($D183&lt;&gt;"",$B183=""),"←売り場を選ぶ",""))</f>
        <v/>
      </c>
      <c r="J183" s="20" t="n"/>
    </row>
    <row r="184">
      <c r="A184" s="19" t="n"/>
      <c r="B184" s="13" t="n"/>
      <c r="C184" s="20" t="n"/>
      <c r="D184" s="21" t="n"/>
      <c r="E184" s="18">
        <f>IF(OR($B184="",$D184=""),"",IFERROR(IF(VLOOKUP($B184,設定!$A$6:$G$10,5,FALSE)="切り上げ",ROUNDUP(ROUND($D184*VLOOKUP($B184,設定!$A$6:$G$10,2,FALSE),6),0),ROUNDDOWN(ROUND($D184*VLOOKUP($B184,設定!$A$6:$G$10,2,FALSE),6),0)),"売り場名?"))</f>
        <v/>
      </c>
      <c r="F184" s="18">
        <f>IF(ISNUMBER($E184),IF(VLOOKUP($B184,設定!$A$6:$G$10,5,FALSE)="切り上げ",ROUNDUP(ROUND(($D184-$E184)*VLOOKUP($B184,設定!$A$6:$G$10,3,FALSE),6),0),ROUNDDOWN(ROUND(($D184-$E184)*VLOOKUP($B184,設定!$A$6:$G$10,3,FALSE),6),0)),"")</f>
        <v/>
      </c>
      <c r="G184" s="18">
        <f>IF(ISNUMBER($E184),VLOOKUP($B184,設定!$A$6:$G$10,4,FALSE),"")</f>
        <v/>
      </c>
      <c r="H184" s="18">
        <f>IF(ISNUMBER($E184),$E184+$F184+$G184,"")</f>
        <v/>
      </c>
      <c r="I184" s="22">
        <f>IF(ISNUMBER($H184),$D184-$H184,IF(AND($D184&lt;&gt;"",$B184=""),"←売り場を選ぶ",""))</f>
        <v/>
      </c>
      <c r="J184" s="20" t="n"/>
    </row>
    <row r="185">
      <c r="A185" s="19" t="n"/>
      <c r="B185" s="13" t="n"/>
      <c r="C185" s="20" t="n"/>
      <c r="D185" s="21" t="n"/>
      <c r="E185" s="18">
        <f>IF(OR($B185="",$D185=""),"",IFERROR(IF(VLOOKUP($B185,設定!$A$6:$G$10,5,FALSE)="切り上げ",ROUNDUP(ROUND($D185*VLOOKUP($B185,設定!$A$6:$G$10,2,FALSE),6),0),ROUNDDOWN(ROUND($D185*VLOOKUP($B185,設定!$A$6:$G$10,2,FALSE),6),0)),"売り場名?"))</f>
        <v/>
      </c>
      <c r="F185" s="18">
        <f>IF(ISNUMBER($E185),IF(VLOOKUP($B185,設定!$A$6:$G$10,5,FALSE)="切り上げ",ROUNDUP(ROUND(($D185-$E185)*VLOOKUP($B185,設定!$A$6:$G$10,3,FALSE),6),0),ROUNDDOWN(ROUND(($D185-$E185)*VLOOKUP($B185,設定!$A$6:$G$10,3,FALSE),6),0)),"")</f>
        <v/>
      </c>
      <c r="G185" s="18">
        <f>IF(ISNUMBER($E185),VLOOKUP($B185,設定!$A$6:$G$10,4,FALSE),"")</f>
        <v/>
      </c>
      <c r="H185" s="18">
        <f>IF(ISNUMBER($E185),$E185+$F185+$G185,"")</f>
        <v/>
      </c>
      <c r="I185" s="22">
        <f>IF(ISNUMBER($H185),$D185-$H185,IF(AND($D185&lt;&gt;"",$B185=""),"←売り場を選ぶ",""))</f>
        <v/>
      </c>
      <c r="J185" s="20" t="n"/>
    </row>
    <row r="186">
      <c r="A186" s="19" t="n"/>
      <c r="B186" s="13" t="n"/>
      <c r="C186" s="20" t="n"/>
      <c r="D186" s="21" t="n"/>
      <c r="E186" s="18">
        <f>IF(OR($B186="",$D186=""),"",IFERROR(IF(VLOOKUP($B186,設定!$A$6:$G$10,5,FALSE)="切り上げ",ROUNDUP(ROUND($D186*VLOOKUP($B186,設定!$A$6:$G$10,2,FALSE),6),0),ROUNDDOWN(ROUND($D186*VLOOKUP($B186,設定!$A$6:$G$10,2,FALSE),6),0)),"売り場名?"))</f>
        <v/>
      </c>
      <c r="F186" s="18">
        <f>IF(ISNUMBER($E186),IF(VLOOKUP($B186,設定!$A$6:$G$10,5,FALSE)="切り上げ",ROUNDUP(ROUND(($D186-$E186)*VLOOKUP($B186,設定!$A$6:$G$10,3,FALSE),6),0),ROUNDDOWN(ROUND(($D186-$E186)*VLOOKUP($B186,設定!$A$6:$G$10,3,FALSE),6),0)),"")</f>
        <v/>
      </c>
      <c r="G186" s="18">
        <f>IF(ISNUMBER($E186),VLOOKUP($B186,設定!$A$6:$G$10,4,FALSE),"")</f>
        <v/>
      </c>
      <c r="H186" s="18">
        <f>IF(ISNUMBER($E186),$E186+$F186+$G186,"")</f>
        <v/>
      </c>
      <c r="I186" s="22">
        <f>IF(ISNUMBER($H186),$D186-$H186,IF(AND($D186&lt;&gt;"",$B186=""),"←売り場を選ぶ",""))</f>
        <v/>
      </c>
      <c r="J186" s="20" t="n"/>
    </row>
    <row r="187">
      <c r="A187" s="19" t="n"/>
      <c r="B187" s="13" t="n"/>
      <c r="C187" s="20" t="n"/>
      <c r="D187" s="21" t="n"/>
      <c r="E187" s="18">
        <f>IF(OR($B187="",$D187=""),"",IFERROR(IF(VLOOKUP($B187,設定!$A$6:$G$10,5,FALSE)="切り上げ",ROUNDUP(ROUND($D187*VLOOKUP($B187,設定!$A$6:$G$10,2,FALSE),6),0),ROUNDDOWN(ROUND($D187*VLOOKUP($B187,設定!$A$6:$G$10,2,FALSE),6),0)),"売り場名?"))</f>
        <v/>
      </c>
      <c r="F187" s="18">
        <f>IF(ISNUMBER($E187),IF(VLOOKUP($B187,設定!$A$6:$G$10,5,FALSE)="切り上げ",ROUNDUP(ROUND(($D187-$E187)*VLOOKUP($B187,設定!$A$6:$G$10,3,FALSE),6),0),ROUNDDOWN(ROUND(($D187-$E187)*VLOOKUP($B187,設定!$A$6:$G$10,3,FALSE),6),0)),"")</f>
        <v/>
      </c>
      <c r="G187" s="18">
        <f>IF(ISNUMBER($E187),VLOOKUP($B187,設定!$A$6:$G$10,4,FALSE),"")</f>
        <v/>
      </c>
      <c r="H187" s="18">
        <f>IF(ISNUMBER($E187),$E187+$F187+$G187,"")</f>
        <v/>
      </c>
      <c r="I187" s="22">
        <f>IF(ISNUMBER($H187),$D187-$H187,IF(AND($D187&lt;&gt;"",$B187=""),"←売り場を選ぶ",""))</f>
        <v/>
      </c>
      <c r="J187" s="20" t="n"/>
    </row>
    <row r="188">
      <c r="A188" s="19" t="n"/>
      <c r="B188" s="13" t="n"/>
      <c r="C188" s="20" t="n"/>
      <c r="D188" s="21" t="n"/>
      <c r="E188" s="18">
        <f>IF(OR($B188="",$D188=""),"",IFERROR(IF(VLOOKUP($B188,設定!$A$6:$G$10,5,FALSE)="切り上げ",ROUNDUP(ROUND($D188*VLOOKUP($B188,設定!$A$6:$G$10,2,FALSE),6),0),ROUNDDOWN(ROUND($D188*VLOOKUP($B188,設定!$A$6:$G$10,2,FALSE),6),0)),"売り場名?"))</f>
        <v/>
      </c>
      <c r="F188" s="18">
        <f>IF(ISNUMBER($E188),IF(VLOOKUP($B188,設定!$A$6:$G$10,5,FALSE)="切り上げ",ROUNDUP(ROUND(($D188-$E188)*VLOOKUP($B188,設定!$A$6:$G$10,3,FALSE),6),0),ROUNDDOWN(ROUND(($D188-$E188)*VLOOKUP($B188,設定!$A$6:$G$10,3,FALSE),6),0)),"")</f>
        <v/>
      </c>
      <c r="G188" s="18">
        <f>IF(ISNUMBER($E188),VLOOKUP($B188,設定!$A$6:$G$10,4,FALSE),"")</f>
        <v/>
      </c>
      <c r="H188" s="18">
        <f>IF(ISNUMBER($E188),$E188+$F188+$G188,"")</f>
        <v/>
      </c>
      <c r="I188" s="22">
        <f>IF(ISNUMBER($H188),$D188-$H188,IF(AND($D188&lt;&gt;"",$B188=""),"←売り場を選ぶ",""))</f>
        <v/>
      </c>
      <c r="J188" s="20" t="n"/>
    </row>
    <row r="189">
      <c r="A189" s="19" t="n"/>
      <c r="B189" s="13" t="n"/>
      <c r="C189" s="20" t="n"/>
      <c r="D189" s="21" t="n"/>
      <c r="E189" s="18">
        <f>IF(OR($B189="",$D189=""),"",IFERROR(IF(VLOOKUP($B189,設定!$A$6:$G$10,5,FALSE)="切り上げ",ROUNDUP(ROUND($D189*VLOOKUP($B189,設定!$A$6:$G$10,2,FALSE),6),0),ROUNDDOWN(ROUND($D189*VLOOKUP($B189,設定!$A$6:$G$10,2,FALSE),6),0)),"売り場名?"))</f>
        <v/>
      </c>
      <c r="F189" s="18">
        <f>IF(ISNUMBER($E189),IF(VLOOKUP($B189,設定!$A$6:$G$10,5,FALSE)="切り上げ",ROUNDUP(ROUND(($D189-$E189)*VLOOKUP($B189,設定!$A$6:$G$10,3,FALSE),6),0),ROUNDDOWN(ROUND(($D189-$E189)*VLOOKUP($B189,設定!$A$6:$G$10,3,FALSE),6),0)),"")</f>
        <v/>
      </c>
      <c r="G189" s="18">
        <f>IF(ISNUMBER($E189),VLOOKUP($B189,設定!$A$6:$G$10,4,FALSE),"")</f>
        <v/>
      </c>
      <c r="H189" s="18">
        <f>IF(ISNUMBER($E189),$E189+$F189+$G189,"")</f>
        <v/>
      </c>
      <c r="I189" s="22">
        <f>IF(ISNUMBER($H189),$D189-$H189,IF(AND($D189&lt;&gt;"",$B189=""),"←売り場を選ぶ",""))</f>
        <v/>
      </c>
      <c r="J189" s="20" t="n"/>
    </row>
    <row r="190">
      <c r="A190" s="19" t="n"/>
      <c r="B190" s="13" t="n"/>
      <c r="C190" s="20" t="n"/>
      <c r="D190" s="21" t="n"/>
      <c r="E190" s="18">
        <f>IF(OR($B190="",$D190=""),"",IFERROR(IF(VLOOKUP($B190,設定!$A$6:$G$10,5,FALSE)="切り上げ",ROUNDUP(ROUND($D190*VLOOKUP($B190,設定!$A$6:$G$10,2,FALSE),6),0),ROUNDDOWN(ROUND($D190*VLOOKUP($B190,設定!$A$6:$G$10,2,FALSE),6),0)),"売り場名?"))</f>
        <v/>
      </c>
      <c r="F190" s="18">
        <f>IF(ISNUMBER($E190),IF(VLOOKUP($B190,設定!$A$6:$G$10,5,FALSE)="切り上げ",ROUNDUP(ROUND(($D190-$E190)*VLOOKUP($B190,設定!$A$6:$G$10,3,FALSE),6),0),ROUNDDOWN(ROUND(($D190-$E190)*VLOOKUP($B190,設定!$A$6:$G$10,3,FALSE),6),0)),"")</f>
        <v/>
      </c>
      <c r="G190" s="18">
        <f>IF(ISNUMBER($E190),VLOOKUP($B190,設定!$A$6:$G$10,4,FALSE),"")</f>
        <v/>
      </c>
      <c r="H190" s="18">
        <f>IF(ISNUMBER($E190),$E190+$F190+$G190,"")</f>
        <v/>
      </c>
      <c r="I190" s="22">
        <f>IF(ISNUMBER($H190),$D190-$H190,IF(AND($D190&lt;&gt;"",$B190=""),"←売り場を選ぶ",""))</f>
        <v/>
      </c>
      <c r="J190" s="20" t="n"/>
    </row>
    <row r="191">
      <c r="A191" s="19" t="n"/>
      <c r="B191" s="13" t="n"/>
      <c r="C191" s="20" t="n"/>
      <c r="D191" s="21" t="n"/>
      <c r="E191" s="18">
        <f>IF(OR($B191="",$D191=""),"",IFERROR(IF(VLOOKUP($B191,設定!$A$6:$G$10,5,FALSE)="切り上げ",ROUNDUP(ROUND($D191*VLOOKUP($B191,設定!$A$6:$G$10,2,FALSE),6),0),ROUNDDOWN(ROUND($D191*VLOOKUP($B191,設定!$A$6:$G$10,2,FALSE),6),0)),"売り場名?"))</f>
        <v/>
      </c>
      <c r="F191" s="18">
        <f>IF(ISNUMBER($E191),IF(VLOOKUP($B191,設定!$A$6:$G$10,5,FALSE)="切り上げ",ROUNDUP(ROUND(($D191-$E191)*VLOOKUP($B191,設定!$A$6:$G$10,3,FALSE),6),0),ROUNDDOWN(ROUND(($D191-$E191)*VLOOKUP($B191,設定!$A$6:$G$10,3,FALSE),6),0)),"")</f>
        <v/>
      </c>
      <c r="G191" s="18">
        <f>IF(ISNUMBER($E191),VLOOKUP($B191,設定!$A$6:$G$10,4,FALSE),"")</f>
        <v/>
      </c>
      <c r="H191" s="18">
        <f>IF(ISNUMBER($E191),$E191+$F191+$G191,"")</f>
        <v/>
      </c>
      <c r="I191" s="22">
        <f>IF(ISNUMBER($H191),$D191-$H191,IF(AND($D191&lt;&gt;"",$B191=""),"←売り場を選ぶ",""))</f>
        <v/>
      </c>
      <c r="J191" s="20" t="n"/>
    </row>
    <row r="192">
      <c r="A192" s="19" t="n"/>
      <c r="B192" s="13" t="n"/>
      <c r="C192" s="20" t="n"/>
      <c r="D192" s="21" t="n"/>
      <c r="E192" s="18">
        <f>IF(OR($B192="",$D192=""),"",IFERROR(IF(VLOOKUP($B192,設定!$A$6:$G$10,5,FALSE)="切り上げ",ROUNDUP(ROUND($D192*VLOOKUP($B192,設定!$A$6:$G$10,2,FALSE),6),0),ROUNDDOWN(ROUND($D192*VLOOKUP($B192,設定!$A$6:$G$10,2,FALSE),6),0)),"売り場名?"))</f>
        <v/>
      </c>
      <c r="F192" s="18">
        <f>IF(ISNUMBER($E192),IF(VLOOKUP($B192,設定!$A$6:$G$10,5,FALSE)="切り上げ",ROUNDUP(ROUND(($D192-$E192)*VLOOKUP($B192,設定!$A$6:$G$10,3,FALSE),6),0),ROUNDDOWN(ROUND(($D192-$E192)*VLOOKUP($B192,設定!$A$6:$G$10,3,FALSE),6),0)),"")</f>
        <v/>
      </c>
      <c r="G192" s="18">
        <f>IF(ISNUMBER($E192),VLOOKUP($B192,設定!$A$6:$G$10,4,FALSE),"")</f>
        <v/>
      </c>
      <c r="H192" s="18">
        <f>IF(ISNUMBER($E192),$E192+$F192+$G192,"")</f>
        <v/>
      </c>
      <c r="I192" s="22">
        <f>IF(ISNUMBER($H192),$D192-$H192,IF(AND($D192&lt;&gt;"",$B192=""),"←売り場を選ぶ",""))</f>
        <v/>
      </c>
      <c r="J192" s="20" t="n"/>
    </row>
    <row r="193">
      <c r="A193" s="19" t="n"/>
      <c r="B193" s="13" t="n"/>
      <c r="C193" s="20" t="n"/>
      <c r="D193" s="21" t="n"/>
      <c r="E193" s="18">
        <f>IF(OR($B193="",$D193=""),"",IFERROR(IF(VLOOKUP($B193,設定!$A$6:$G$10,5,FALSE)="切り上げ",ROUNDUP(ROUND($D193*VLOOKUP($B193,設定!$A$6:$G$10,2,FALSE),6),0),ROUNDDOWN(ROUND($D193*VLOOKUP($B193,設定!$A$6:$G$10,2,FALSE),6),0)),"売り場名?"))</f>
        <v/>
      </c>
      <c r="F193" s="18">
        <f>IF(ISNUMBER($E193),IF(VLOOKUP($B193,設定!$A$6:$G$10,5,FALSE)="切り上げ",ROUNDUP(ROUND(($D193-$E193)*VLOOKUP($B193,設定!$A$6:$G$10,3,FALSE),6),0),ROUNDDOWN(ROUND(($D193-$E193)*VLOOKUP($B193,設定!$A$6:$G$10,3,FALSE),6),0)),"")</f>
        <v/>
      </c>
      <c r="G193" s="18">
        <f>IF(ISNUMBER($E193),VLOOKUP($B193,設定!$A$6:$G$10,4,FALSE),"")</f>
        <v/>
      </c>
      <c r="H193" s="18">
        <f>IF(ISNUMBER($E193),$E193+$F193+$G193,"")</f>
        <v/>
      </c>
      <c r="I193" s="22">
        <f>IF(ISNUMBER($H193),$D193-$H193,IF(AND($D193&lt;&gt;"",$B193=""),"←売り場を選ぶ",""))</f>
        <v/>
      </c>
      <c r="J193" s="20" t="n"/>
    </row>
    <row r="194">
      <c r="A194" s="19" t="n"/>
      <c r="B194" s="13" t="n"/>
      <c r="C194" s="20" t="n"/>
      <c r="D194" s="21" t="n"/>
      <c r="E194" s="18">
        <f>IF(OR($B194="",$D194=""),"",IFERROR(IF(VLOOKUP($B194,設定!$A$6:$G$10,5,FALSE)="切り上げ",ROUNDUP(ROUND($D194*VLOOKUP($B194,設定!$A$6:$G$10,2,FALSE),6),0),ROUNDDOWN(ROUND($D194*VLOOKUP($B194,設定!$A$6:$G$10,2,FALSE),6),0)),"売り場名?"))</f>
        <v/>
      </c>
      <c r="F194" s="18">
        <f>IF(ISNUMBER($E194),IF(VLOOKUP($B194,設定!$A$6:$G$10,5,FALSE)="切り上げ",ROUNDUP(ROUND(($D194-$E194)*VLOOKUP($B194,設定!$A$6:$G$10,3,FALSE),6),0),ROUNDDOWN(ROUND(($D194-$E194)*VLOOKUP($B194,設定!$A$6:$G$10,3,FALSE),6),0)),"")</f>
        <v/>
      </c>
      <c r="G194" s="18">
        <f>IF(ISNUMBER($E194),VLOOKUP($B194,設定!$A$6:$G$10,4,FALSE),"")</f>
        <v/>
      </c>
      <c r="H194" s="18">
        <f>IF(ISNUMBER($E194),$E194+$F194+$G194,"")</f>
        <v/>
      </c>
      <c r="I194" s="22">
        <f>IF(ISNUMBER($H194),$D194-$H194,IF(AND($D194&lt;&gt;"",$B194=""),"←売り場を選ぶ",""))</f>
        <v/>
      </c>
      <c r="J194" s="20" t="n"/>
    </row>
    <row r="195">
      <c r="A195" s="19" t="n"/>
      <c r="B195" s="13" t="n"/>
      <c r="C195" s="20" t="n"/>
      <c r="D195" s="21" t="n"/>
      <c r="E195" s="18">
        <f>IF(OR($B195="",$D195=""),"",IFERROR(IF(VLOOKUP($B195,設定!$A$6:$G$10,5,FALSE)="切り上げ",ROUNDUP(ROUND($D195*VLOOKUP($B195,設定!$A$6:$G$10,2,FALSE),6),0),ROUNDDOWN(ROUND($D195*VLOOKUP($B195,設定!$A$6:$G$10,2,FALSE),6),0)),"売り場名?"))</f>
        <v/>
      </c>
      <c r="F195" s="18">
        <f>IF(ISNUMBER($E195),IF(VLOOKUP($B195,設定!$A$6:$G$10,5,FALSE)="切り上げ",ROUNDUP(ROUND(($D195-$E195)*VLOOKUP($B195,設定!$A$6:$G$10,3,FALSE),6),0),ROUNDDOWN(ROUND(($D195-$E195)*VLOOKUP($B195,設定!$A$6:$G$10,3,FALSE),6),0)),"")</f>
        <v/>
      </c>
      <c r="G195" s="18">
        <f>IF(ISNUMBER($E195),VLOOKUP($B195,設定!$A$6:$G$10,4,FALSE),"")</f>
        <v/>
      </c>
      <c r="H195" s="18">
        <f>IF(ISNUMBER($E195),$E195+$F195+$G195,"")</f>
        <v/>
      </c>
      <c r="I195" s="22">
        <f>IF(ISNUMBER($H195),$D195-$H195,IF(AND($D195&lt;&gt;"",$B195=""),"←売り場を選ぶ",""))</f>
        <v/>
      </c>
      <c r="J195" s="20" t="n"/>
    </row>
    <row r="196">
      <c r="A196" s="19" t="n"/>
      <c r="B196" s="13" t="n"/>
      <c r="C196" s="20" t="n"/>
      <c r="D196" s="21" t="n"/>
      <c r="E196" s="18">
        <f>IF(OR($B196="",$D196=""),"",IFERROR(IF(VLOOKUP($B196,設定!$A$6:$G$10,5,FALSE)="切り上げ",ROUNDUP(ROUND($D196*VLOOKUP($B196,設定!$A$6:$G$10,2,FALSE),6),0),ROUNDDOWN(ROUND($D196*VLOOKUP($B196,設定!$A$6:$G$10,2,FALSE),6),0)),"売り場名?"))</f>
        <v/>
      </c>
      <c r="F196" s="18">
        <f>IF(ISNUMBER($E196),IF(VLOOKUP($B196,設定!$A$6:$G$10,5,FALSE)="切り上げ",ROUNDUP(ROUND(($D196-$E196)*VLOOKUP($B196,設定!$A$6:$G$10,3,FALSE),6),0),ROUNDDOWN(ROUND(($D196-$E196)*VLOOKUP($B196,設定!$A$6:$G$10,3,FALSE),6),0)),"")</f>
        <v/>
      </c>
      <c r="G196" s="18">
        <f>IF(ISNUMBER($E196),VLOOKUP($B196,設定!$A$6:$G$10,4,FALSE),"")</f>
        <v/>
      </c>
      <c r="H196" s="18">
        <f>IF(ISNUMBER($E196),$E196+$F196+$G196,"")</f>
        <v/>
      </c>
      <c r="I196" s="22">
        <f>IF(ISNUMBER($H196),$D196-$H196,IF(AND($D196&lt;&gt;"",$B196=""),"←売り場を選ぶ",""))</f>
        <v/>
      </c>
      <c r="J196" s="20" t="n"/>
    </row>
    <row r="197">
      <c r="A197" s="19" t="n"/>
      <c r="B197" s="13" t="n"/>
      <c r="C197" s="20" t="n"/>
      <c r="D197" s="21" t="n"/>
      <c r="E197" s="18">
        <f>IF(OR($B197="",$D197=""),"",IFERROR(IF(VLOOKUP($B197,設定!$A$6:$G$10,5,FALSE)="切り上げ",ROUNDUP(ROUND($D197*VLOOKUP($B197,設定!$A$6:$G$10,2,FALSE),6),0),ROUNDDOWN(ROUND($D197*VLOOKUP($B197,設定!$A$6:$G$10,2,FALSE),6),0)),"売り場名?"))</f>
        <v/>
      </c>
      <c r="F197" s="18">
        <f>IF(ISNUMBER($E197),IF(VLOOKUP($B197,設定!$A$6:$G$10,5,FALSE)="切り上げ",ROUNDUP(ROUND(($D197-$E197)*VLOOKUP($B197,設定!$A$6:$G$10,3,FALSE),6),0),ROUNDDOWN(ROUND(($D197-$E197)*VLOOKUP($B197,設定!$A$6:$G$10,3,FALSE),6),0)),"")</f>
        <v/>
      </c>
      <c r="G197" s="18">
        <f>IF(ISNUMBER($E197),VLOOKUP($B197,設定!$A$6:$G$10,4,FALSE),"")</f>
        <v/>
      </c>
      <c r="H197" s="18">
        <f>IF(ISNUMBER($E197),$E197+$F197+$G197,"")</f>
        <v/>
      </c>
      <c r="I197" s="22">
        <f>IF(ISNUMBER($H197),$D197-$H197,IF(AND($D197&lt;&gt;"",$B197=""),"←売り場を選ぶ",""))</f>
        <v/>
      </c>
      <c r="J197" s="20" t="n"/>
    </row>
    <row r="198">
      <c r="A198" s="19" t="n"/>
      <c r="B198" s="13" t="n"/>
      <c r="C198" s="20" t="n"/>
      <c r="D198" s="21" t="n"/>
      <c r="E198" s="18">
        <f>IF(OR($B198="",$D198=""),"",IFERROR(IF(VLOOKUP($B198,設定!$A$6:$G$10,5,FALSE)="切り上げ",ROUNDUP(ROUND($D198*VLOOKUP($B198,設定!$A$6:$G$10,2,FALSE),6),0),ROUNDDOWN(ROUND($D198*VLOOKUP($B198,設定!$A$6:$G$10,2,FALSE),6),0)),"売り場名?"))</f>
        <v/>
      </c>
      <c r="F198" s="18">
        <f>IF(ISNUMBER($E198),IF(VLOOKUP($B198,設定!$A$6:$G$10,5,FALSE)="切り上げ",ROUNDUP(ROUND(($D198-$E198)*VLOOKUP($B198,設定!$A$6:$G$10,3,FALSE),6),0),ROUNDDOWN(ROUND(($D198-$E198)*VLOOKUP($B198,設定!$A$6:$G$10,3,FALSE),6),0)),"")</f>
        <v/>
      </c>
      <c r="G198" s="18">
        <f>IF(ISNUMBER($E198),VLOOKUP($B198,設定!$A$6:$G$10,4,FALSE),"")</f>
        <v/>
      </c>
      <c r="H198" s="18">
        <f>IF(ISNUMBER($E198),$E198+$F198+$G198,"")</f>
        <v/>
      </c>
      <c r="I198" s="22">
        <f>IF(ISNUMBER($H198),$D198-$H198,IF(AND($D198&lt;&gt;"",$B198=""),"←売り場を選ぶ",""))</f>
        <v/>
      </c>
      <c r="J198" s="20" t="n"/>
    </row>
    <row r="199">
      <c r="A199" s="19" t="n"/>
      <c r="B199" s="13" t="n"/>
      <c r="C199" s="20" t="n"/>
      <c r="D199" s="21" t="n"/>
      <c r="E199" s="18">
        <f>IF(OR($B199="",$D199=""),"",IFERROR(IF(VLOOKUP($B199,設定!$A$6:$G$10,5,FALSE)="切り上げ",ROUNDUP(ROUND($D199*VLOOKUP($B199,設定!$A$6:$G$10,2,FALSE),6),0),ROUNDDOWN(ROUND($D199*VLOOKUP($B199,設定!$A$6:$G$10,2,FALSE),6),0)),"売り場名?"))</f>
        <v/>
      </c>
      <c r="F199" s="18">
        <f>IF(ISNUMBER($E199),IF(VLOOKUP($B199,設定!$A$6:$G$10,5,FALSE)="切り上げ",ROUNDUP(ROUND(($D199-$E199)*VLOOKUP($B199,設定!$A$6:$G$10,3,FALSE),6),0),ROUNDDOWN(ROUND(($D199-$E199)*VLOOKUP($B199,設定!$A$6:$G$10,3,FALSE),6),0)),"")</f>
        <v/>
      </c>
      <c r="G199" s="18">
        <f>IF(ISNUMBER($E199),VLOOKUP($B199,設定!$A$6:$G$10,4,FALSE),"")</f>
        <v/>
      </c>
      <c r="H199" s="18">
        <f>IF(ISNUMBER($E199),$E199+$F199+$G199,"")</f>
        <v/>
      </c>
      <c r="I199" s="22">
        <f>IF(ISNUMBER($H199),$D199-$H199,IF(AND($D199&lt;&gt;"",$B199=""),"←売り場を選ぶ",""))</f>
        <v/>
      </c>
      <c r="J199" s="20" t="n"/>
    </row>
    <row r="200">
      <c r="A200" s="19" t="n"/>
      <c r="B200" s="13" t="n"/>
      <c r="C200" s="20" t="n"/>
      <c r="D200" s="21" t="n"/>
      <c r="E200" s="18">
        <f>IF(OR($B200="",$D200=""),"",IFERROR(IF(VLOOKUP($B200,設定!$A$6:$G$10,5,FALSE)="切り上げ",ROUNDUP(ROUND($D200*VLOOKUP($B200,設定!$A$6:$G$10,2,FALSE),6),0),ROUNDDOWN(ROUND($D200*VLOOKUP($B200,設定!$A$6:$G$10,2,FALSE),6),0)),"売り場名?"))</f>
        <v/>
      </c>
      <c r="F200" s="18">
        <f>IF(ISNUMBER($E200),IF(VLOOKUP($B200,設定!$A$6:$G$10,5,FALSE)="切り上げ",ROUNDUP(ROUND(($D200-$E200)*VLOOKUP($B200,設定!$A$6:$G$10,3,FALSE),6),0),ROUNDDOWN(ROUND(($D200-$E200)*VLOOKUP($B200,設定!$A$6:$G$10,3,FALSE),6),0)),"")</f>
        <v/>
      </c>
      <c r="G200" s="18">
        <f>IF(ISNUMBER($E200),VLOOKUP($B200,設定!$A$6:$G$10,4,FALSE),"")</f>
        <v/>
      </c>
      <c r="H200" s="18">
        <f>IF(ISNUMBER($E200),$E200+$F200+$G200,"")</f>
        <v/>
      </c>
      <c r="I200" s="22">
        <f>IF(ISNUMBER($H200),$D200-$H200,IF(AND($D200&lt;&gt;"",$B200=""),"←売り場を選ぶ",""))</f>
        <v/>
      </c>
      <c r="J200" s="20" t="n"/>
    </row>
    <row r="201">
      <c r="A201" s="19" t="n"/>
      <c r="B201" s="13" t="n"/>
      <c r="C201" s="20" t="n"/>
      <c r="D201" s="21" t="n"/>
      <c r="E201" s="18">
        <f>IF(OR($B201="",$D201=""),"",IFERROR(IF(VLOOKUP($B201,設定!$A$6:$G$10,5,FALSE)="切り上げ",ROUNDUP(ROUND($D201*VLOOKUP($B201,設定!$A$6:$G$10,2,FALSE),6),0),ROUNDDOWN(ROUND($D201*VLOOKUP($B201,設定!$A$6:$G$10,2,FALSE),6),0)),"売り場名?"))</f>
        <v/>
      </c>
      <c r="F201" s="18">
        <f>IF(ISNUMBER($E201),IF(VLOOKUP($B201,設定!$A$6:$G$10,5,FALSE)="切り上げ",ROUNDUP(ROUND(($D201-$E201)*VLOOKUP($B201,設定!$A$6:$G$10,3,FALSE),6),0),ROUNDDOWN(ROUND(($D201-$E201)*VLOOKUP($B201,設定!$A$6:$G$10,3,FALSE),6),0)),"")</f>
        <v/>
      </c>
      <c r="G201" s="18">
        <f>IF(ISNUMBER($E201),VLOOKUP($B201,設定!$A$6:$G$10,4,FALSE),"")</f>
        <v/>
      </c>
      <c r="H201" s="18">
        <f>IF(ISNUMBER($E201),$E201+$F201+$G201,"")</f>
        <v/>
      </c>
      <c r="I201" s="22">
        <f>IF(ISNUMBER($H201),$D201-$H201,IF(AND($D201&lt;&gt;"",$B201=""),"←売り場を選ぶ",""))</f>
        <v/>
      </c>
      <c r="J201" s="20" t="n"/>
    </row>
  </sheetData>
  <dataValidations count="1">
    <dataValidation sqref="B2:B201" showDropDown="0" showInputMessage="0" showErrorMessage="0" allowBlank="1" errorTitle="売り場の名前" error="「設定」シートにある売り場の名前から選んでください。" type="list">
      <formula1>=設定!$A$6:$A$10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62" customWidth="1" min="4" max="4"/>
  </cols>
  <sheetData>
    <row r="1" ht="24" customHeight="1">
      <c r="A1" s="9" t="inlineStr">
        <is>
          <t>日付</t>
        </is>
      </c>
      <c r="B1" s="9" t="inlineStr">
        <is>
          <t>項目</t>
        </is>
      </c>
      <c r="C1" s="9" t="inlineStr">
        <is>
          <t>金額(円)</t>
        </is>
      </c>
      <c r="D1" s="9" t="inlineStr">
        <is>
          <t>メモ</t>
        </is>
      </c>
    </row>
    <row r="2">
      <c r="A2" s="19" t="n">
        <v>46113</v>
      </c>
      <c r="B2" s="20" t="inlineStr">
        <is>
          <t>Claude Codeの月額(サンプル)</t>
        </is>
      </c>
      <c r="C2" s="21" t="n">
        <v>3000</v>
      </c>
      <c r="D2" s="23" t="inlineStr">
        <is>
          <t>サンプル(本文の例の「月約3,000円」)。自分の金額に書き換えます</t>
        </is>
      </c>
    </row>
    <row r="3">
      <c r="A3" s="19" t="n">
        <v>46143</v>
      </c>
      <c r="B3" s="20" t="inlineStr">
        <is>
          <t>Claude Codeの月額(サンプル)</t>
        </is>
      </c>
      <c r="C3" s="21" t="n">
        <v>3000</v>
      </c>
      <c r="D3" s="23" t="inlineStr">
        <is>
          <t>サンプル(本文の例の「月約3,000円」)。自分の金額に書き換えます</t>
        </is>
      </c>
    </row>
    <row r="4">
      <c r="A4" s="19" t="n">
        <v>46174</v>
      </c>
      <c r="B4" s="20" t="inlineStr">
        <is>
          <t>Claude Codeの月額(サンプル)</t>
        </is>
      </c>
      <c r="C4" s="21" t="n">
        <v>3000</v>
      </c>
      <c r="D4" s="23" t="inlineStr">
        <is>
          <t>サンプル(本文の例の「月約3,000円」)。自分の金額に書き換えます</t>
        </is>
      </c>
    </row>
    <row r="5">
      <c r="A5" s="19" t="n">
        <v>46204</v>
      </c>
      <c r="B5" s="20" t="inlineStr">
        <is>
          <t>Claude Codeの月額(サンプル)</t>
        </is>
      </c>
      <c r="C5" s="21" t="n">
        <v>3000</v>
      </c>
      <c r="D5" s="23" t="inlineStr">
        <is>
          <t>サンプル(本文の例の「月約3,000円」)。自分の金額に書き換えます</t>
        </is>
      </c>
    </row>
    <row r="6">
      <c r="A6" s="19" t="n">
        <v>46235</v>
      </c>
      <c r="B6" s="20" t="inlineStr">
        <is>
          <t>Claude Codeの月額(サンプル)</t>
        </is>
      </c>
      <c r="C6" s="21" t="n">
        <v>3000</v>
      </c>
      <c r="D6" s="23" t="inlineStr">
        <is>
          <t>サンプル(本文の例の「月約3,000円」)。自分の金額に書き換えます</t>
        </is>
      </c>
    </row>
    <row r="7">
      <c r="A7" s="19" t="n">
        <v>46266</v>
      </c>
      <c r="B7" s="20" t="inlineStr">
        <is>
          <t>Claude Codeの月額(サンプル)</t>
        </is>
      </c>
      <c r="C7" s="21" t="n">
        <v>3000</v>
      </c>
      <c r="D7" s="23" t="inlineStr">
        <is>
          <t>サンプル(本文の例の「月約3,000円」)。自分の金額に書き換えます</t>
        </is>
      </c>
    </row>
    <row r="8">
      <c r="A8" s="19" t="n">
        <v>46183</v>
      </c>
      <c r="B8" s="20" t="inlineStr">
        <is>
          <t>ドメイン代(サンプル)</t>
        </is>
      </c>
      <c r="C8" s="21" t="n">
        <v>1500</v>
      </c>
      <c r="D8" s="23" t="inlineStr">
        <is>
          <t>サンプル</t>
        </is>
      </c>
    </row>
    <row r="9">
      <c r="A9" s="19" t="n">
        <v>46295</v>
      </c>
      <c r="B9" s="20" t="inlineStr">
        <is>
          <t>noteの振込手数料(サンプル)</t>
        </is>
      </c>
      <c r="C9" s="21" t="n">
        <v>270</v>
      </c>
      <c r="D9" s="23" t="inlineStr">
        <is>
          <t>振込1回ごとに270円</t>
        </is>
      </c>
    </row>
    <row r="10">
      <c r="A10" s="19" t="n"/>
      <c r="B10" s="20" t="n"/>
      <c r="C10" s="21" t="n"/>
      <c r="D10" s="23" t="n"/>
    </row>
    <row r="11">
      <c r="A11" s="19" t="n"/>
      <c r="B11" s="20" t="n"/>
      <c r="C11" s="21" t="n"/>
      <c r="D11" s="23" t="n"/>
    </row>
    <row r="12">
      <c r="A12" s="19" t="n"/>
      <c r="B12" s="20" t="n"/>
      <c r="C12" s="21" t="n"/>
      <c r="D12" s="23" t="n"/>
    </row>
    <row r="13">
      <c r="A13" s="19" t="n"/>
      <c r="B13" s="20" t="n"/>
      <c r="C13" s="21" t="n"/>
      <c r="D13" s="23" t="n"/>
    </row>
    <row r="14">
      <c r="A14" s="19" t="n"/>
      <c r="B14" s="20" t="n"/>
      <c r="C14" s="21" t="n"/>
      <c r="D14" s="23" t="n"/>
    </row>
    <row r="15">
      <c r="A15" s="19" t="n"/>
      <c r="B15" s="20" t="n"/>
      <c r="C15" s="21" t="n"/>
      <c r="D15" s="23" t="n"/>
    </row>
    <row r="16">
      <c r="A16" s="19" t="n"/>
      <c r="B16" s="20" t="n"/>
      <c r="C16" s="21" t="n"/>
      <c r="D16" s="23" t="n"/>
    </row>
    <row r="17">
      <c r="A17" s="19" t="n"/>
      <c r="B17" s="20" t="n"/>
      <c r="C17" s="21" t="n"/>
      <c r="D17" s="23" t="n"/>
    </row>
    <row r="18">
      <c r="A18" s="19" t="n"/>
      <c r="B18" s="20" t="n"/>
      <c r="C18" s="21" t="n"/>
      <c r="D18" s="23" t="n"/>
    </row>
    <row r="19">
      <c r="A19" s="19" t="n"/>
      <c r="B19" s="20" t="n"/>
      <c r="C19" s="21" t="n"/>
      <c r="D19" s="23" t="n"/>
    </row>
    <row r="20">
      <c r="A20" s="19" t="n"/>
      <c r="B20" s="20" t="n"/>
      <c r="C20" s="21" t="n"/>
      <c r="D20" s="23" t="n"/>
    </row>
    <row r="21">
      <c r="A21" s="19" t="n"/>
      <c r="B21" s="20" t="n"/>
      <c r="C21" s="21" t="n"/>
      <c r="D21" s="23" t="n"/>
    </row>
    <row r="22">
      <c r="A22" s="19" t="n"/>
      <c r="B22" s="20" t="n"/>
      <c r="C22" s="21" t="n"/>
      <c r="D22" s="23" t="n"/>
    </row>
    <row r="23">
      <c r="A23" s="19" t="n"/>
      <c r="B23" s="20" t="n"/>
      <c r="C23" s="21" t="n"/>
      <c r="D23" s="23" t="n"/>
    </row>
    <row r="24">
      <c r="A24" s="19" t="n"/>
      <c r="B24" s="20" t="n"/>
      <c r="C24" s="21" t="n"/>
      <c r="D24" s="23" t="n"/>
    </row>
    <row r="25">
      <c r="A25" s="19" t="n"/>
      <c r="B25" s="20" t="n"/>
      <c r="C25" s="21" t="n"/>
      <c r="D25" s="23" t="n"/>
    </row>
    <row r="26">
      <c r="A26" s="19" t="n"/>
      <c r="B26" s="20" t="n"/>
      <c r="C26" s="21" t="n"/>
      <c r="D26" s="23" t="n"/>
    </row>
    <row r="27">
      <c r="A27" s="19" t="n"/>
      <c r="B27" s="20" t="n"/>
      <c r="C27" s="21" t="n"/>
      <c r="D27" s="23" t="n"/>
    </row>
    <row r="28">
      <c r="A28" s="19" t="n"/>
      <c r="B28" s="20" t="n"/>
      <c r="C28" s="21" t="n"/>
      <c r="D28" s="23" t="n"/>
    </row>
    <row r="29">
      <c r="A29" s="19" t="n"/>
      <c r="B29" s="20" t="n"/>
      <c r="C29" s="21" t="n"/>
      <c r="D29" s="23" t="n"/>
    </row>
    <row r="30">
      <c r="A30" s="19" t="n"/>
      <c r="B30" s="20" t="n"/>
      <c r="C30" s="21" t="n"/>
      <c r="D30" s="23" t="n"/>
    </row>
    <row r="31">
      <c r="A31" s="19" t="n"/>
      <c r="B31" s="20" t="n"/>
      <c r="C31" s="21" t="n"/>
      <c r="D31" s="23" t="n"/>
    </row>
    <row r="32">
      <c r="A32" s="19" t="n"/>
      <c r="B32" s="20" t="n"/>
      <c r="C32" s="21" t="n"/>
      <c r="D32" s="23" t="n"/>
    </row>
    <row r="33">
      <c r="A33" s="19" t="n"/>
      <c r="B33" s="20" t="n"/>
      <c r="C33" s="21" t="n"/>
      <c r="D33" s="23" t="n"/>
    </row>
    <row r="34">
      <c r="A34" s="19" t="n"/>
      <c r="B34" s="20" t="n"/>
      <c r="C34" s="21" t="n"/>
      <c r="D34" s="23" t="n"/>
    </row>
    <row r="35">
      <c r="A35" s="19" t="n"/>
      <c r="B35" s="20" t="n"/>
      <c r="C35" s="21" t="n"/>
      <c r="D35" s="23" t="n"/>
    </row>
    <row r="36">
      <c r="A36" s="19" t="n"/>
      <c r="B36" s="20" t="n"/>
      <c r="C36" s="21" t="n"/>
      <c r="D36" s="23" t="n"/>
    </row>
    <row r="37">
      <c r="A37" s="19" t="n"/>
      <c r="B37" s="20" t="n"/>
      <c r="C37" s="21" t="n"/>
      <c r="D37" s="23" t="n"/>
    </row>
    <row r="38">
      <c r="A38" s="19" t="n"/>
      <c r="B38" s="20" t="n"/>
      <c r="C38" s="21" t="n"/>
      <c r="D38" s="23" t="n"/>
    </row>
    <row r="39">
      <c r="A39" s="19" t="n"/>
      <c r="B39" s="20" t="n"/>
      <c r="C39" s="21" t="n"/>
      <c r="D39" s="23" t="n"/>
    </row>
    <row r="40">
      <c r="A40" s="19" t="n"/>
      <c r="B40" s="20" t="n"/>
      <c r="C40" s="21" t="n"/>
      <c r="D40" s="23" t="n"/>
    </row>
    <row r="41">
      <c r="A41" s="19" t="n"/>
      <c r="B41" s="20" t="n"/>
      <c r="C41" s="21" t="n"/>
      <c r="D41" s="23" t="n"/>
    </row>
    <row r="42">
      <c r="A42" s="19" t="n"/>
      <c r="B42" s="20" t="n"/>
      <c r="C42" s="21" t="n"/>
      <c r="D42" s="23" t="n"/>
    </row>
    <row r="43">
      <c r="A43" s="19" t="n"/>
      <c r="B43" s="20" t="n"/>
      <c r="C43" s="21" t="n"/>
      <c r="D43" s="23" t="n"/>
    </row>
    <row r="44">
      <c r="A44" s="19" t="n"/>
      <c r="B44" s="20" t="n"/>
      <c r="C44" s="21" t="n"/>
      <c r="D44" s="23" t="n"/>
    </row>
    <row r="45">
      <c r="A45" s="19" t="n"/>
      <c r="B45" s="20" t="n"/>
      <c r="C45" s="21" t="n"/>
      <c r="D45" s="23" t="n"/>
    </row>
    <row r="46">
      <c r="A46" s="19" t="n"/>
      <c r="B46" s="20" t="n"/>
      <c r="C46" s="21" t="n"/>
      <c r="D46" s="23" t="n"/>
    </row>
    <row r="47">
      <c r="A47" s="19" t="n"/>
      <c r="B47" s="20" t="n"/>
      <c r="C47" s="21" t="n"/>
      <c r="D47" s="23" t="n"/>
    </row>
    <row r="48">
      <c r="A48" s="19" t="n"/>
      <c r="B48" s="20" t="n"/>
      <c r="C48" s="21" t="n"/>
      <c r="D48" s="23" t="n"/>
    </row>
    <row r="49">
      <c r="A49" s="19" t="n"/>
      <c r="B49" s="20" t="n"/>
      <c r="C49" s="21" t="n"/>
      <c r="D49" s="23" t="n"/>
    </row>
    <row r="50">
      <c r="A50" s="19" t="n"/>
      <c r="B50" s="20" t="n"/>
      <c r="C50" s="21" t="n"/>
      <c r="D50" s="23" t="n"/>
    </row>
    <row r="51">
      <c r="A51" s="19" t="n"/>
      <c r="B51" s="20" t="n"/>
      <c r="C51" s="21" t="n"/>
      <c r="D51" s="23" t="n"/>
    </row>
    <row r="52">
      <c r="A52" s="19" t="n"/>
      <c r="B52" s="20" t="n"/>
      <c r="C52" s="21" t="n"/>
      <c r="D52" s="23" t="n"/>
    </row>
    <row r="53">
      <c r="A53" s="19" t="n"/>
      <c r="B53" s="20" t="n"/>
      <c r="C53" s="21" t="n"/>
      <c r="D53" s="23" t="n"/>
    </row>
    <row r="54">
      <c r="A54" s="19" t="n"/>
      <c r="B54" s="20" t="n"/>
      <c r="C54" s="21" t="n"/>
      <c r="D54" s="23" t="n"/>
    </row>
    <row r="55">
      <c r="A55" s="19" t="n"/>
      <c r="B55" s="20" t="n"/>
      <c r="C55" s="21" t="n"/>
      <c r="D55" s="23" t="n"/>
    </row>
    <row r="56">
      <c r="A56" s="19" t="n"/>
      <c r="B56" s="20" t="n"/>
      <c r="C56" s="21" t="n"/>
      <c r="D56" s="23" t="n"/>
    </row>
    <row r="57">
      <c r="A57" s="19" t="n"/>
      <c r="B57" s="20" t="n"/>
      <c r="C57" s="21" t="n"/>
      <c r="D57" s="23" t="n"/>
    </row>
    <row r="58">
      <c r="A58" s="19" t="n"/>
      <c r="B58" s="20" t="n"/>
      <c r="C58" s="21" t="n"/>
      <c r="D58" s="23" t="n"/>
    </row>
    <row r="59">
      <c r="A59" s="19" t="n"/>
      <c r="B59" s="20" t="n"/>
      <c r="C59" s="21" t="n"/>
      <c r="D59" s="23" t="n"/>
    </row>
    <row r="60">
      <c r="A60" s="19" t="n"/>
      <c r="B60" s="20" t="n"/>
      <c r="C60" s="21" t="n"/>
      <c r="D60" s="23" t="n"/>
    </row>
    <row r="61">
      <c r="A61" s="19" t="n"/>
      <c r="B61" s="20" t="n"/>
      <c r="C61" s="21" t="n"/>
      <c r="D61" s="23" t="n"/>
    </row>
    <row r="62">
      <c r="A62" s="19" t="n"/>
      <c r="B62" s="20" t="n"/>
      <c r="C62" s="21" t="n"/>
      <c r="D62" s="23" t="n"/>
    </row>
    <row r="63">
      <c r="A63" s="19" t="n"/>
      <c r="B63" s="20" t="n"/>
      <c r="C63" s="21" t="n"/>
      <c r="D63" s="23" t="n"/>
    </row>
    <row r="64">
      <c r="A64" s="19" t="n"/>
      <c r="B64" s="20" t="n"/>
      <c r="C64" s="21" t="n"/>
      <c r="D64" s="23" t="n"/>
    </row>
    <row r="65">
      <c r="A65" s="19" t="n"/>
      <c r="B65" s="20" t="n"/>
      <c r="C65" s="21" t="n"/>
      <c r="D65" s="23" t="n"/>
    </row>
    <row r="66">
      <c r="A66" s="19" t="n"/>
      <c r="B66" s="20" t="n"/>
      <c r="C66" s="21" t="n"/>
      <c r="D66" s="23" t="n"/>
    </row>
    <row r="67">
      <c r="A67" s="19" t="n"/>
      <c r="B67" s="20" t="n"/>
      <c r="C67" s="21" t="n"/>
      <c r="D67" s="23" t="n"/>
    </row>
    <row r="68">
      <c r="A68" s="19" t="n"/>
      <c r="B68" s="20" t="n"/>
      <c r="C68" s="21" t="n"/>
      <c r="D68" s="23" t="n"/>
    </row>
    <row r="69">
      <c r="A69" s="19" t="n"/>
      <c r="B69" s="20" t="n"/>
      <c r="C69" s="21" t="n"/>
      <c r="D69" s="23" t="n"/>
    </row>
    <row r="70">
      <c r="A70" s="19" t="n"/>
      <c r="B70" s="20" t="n"/>
      <c r="C70" s="21" t="n"/>
      <c r="D70" s="23" t="n"/>
    </row>
    <row r="71">
      <c r="A71" s="19" t="n"/>
      <c r="B71" s="20" t="n"/>
      <c r="C71" s="21" t="n"/>
      <c r="D71" s="23" t="n"/>
    </row>
    <row r="72">
      <c r="A72" s="19" t="n"/>
      <c r="B72" s="20" t="n"/>
      <c r="C72" s="21" t="n"/>
      <c r="D72" s="23" t="n"/>
    </row>
    <row r="73">
      <c r="A73" s="19" t="n"/>
      <c r="B73" s="20" t="n"/>
      <c r="C73" s="21" t="n"/>
      <c r="D73" s="23" t="n"/>
    </row>
    <row r="74">
      <c r="A74" s="19" t="n"/>
      <c r="B74" s="20" t="n"/>
      <c r="C74" s="21" t="n"/>
      <c r="D74" s="23" t="n"/>
    </row>
    <row r="75">
      <c r="A75" s="19" t="n"/>
      <c r="B75" s="20" t="n"/>
      <c r="C75" s="21" t="n"/>
      <c r="D75" s="23" t="n"/>
    </row>
    <row r="76">
      <c r="A76" s="19" t="n"/>
      <c r="B76" s="20" t="n"/>
      <c r="C76" s="21" t="n"/>
      <c r="D76" s="23" t="n"/>
    </row>
    <row r="77">
      <c r="A77" s="19" t="n"/>
      <c r="B77" s="20" t="n"/>
      <c r="C77" s="21" t="n"/>
      <c r="D77" s="23" t="n"/>
    </row>
    <row r="78">
      <c r="A78" s="19" t="n"/>
      <c r="B78" s="20" t="n"/>
      <c r="C78" s="21" t="n"/>
      <c r="D78" s="23" t="n"/>
    </row>
    <row r="79">
      <c r="A79" s="19" t="n"/>
      <c r="B79" s="20" t="n"/>
      <c r="C79" s="21" t="n"/>
      <c r="D79" s="23" t="n"/>
    </row>
    <row r="80">
      <c r="A80" s="19" t="n"/>
      <c r="B80" s="20" t="n"/>
      <c r="C80" s="21" t="n"/>
      <c r="D80" s="23" t="n"/>
    </row>
    <row r="81">
      <c r="A81" s="19" t="n"/>
      <c r="B81" s="20" t="n"/>
      <c r="C81" s="21" t="n"/>
      <c r="D81" s="23" t="n"/>
    </row>
    <row r="82">
      <c r="A82" s="19" t="n"/>
      <c r="B82" s="20" t="n"/>
      <c r="C82" s="21" t="n"/>
      <c r="D82" s="23" t="n"/>
    </row>
    <row r="83">
      <c r="A83" s="19" t="n"/>
      <c r="B83" s="20" t="n"/>
      <c r="C83" s="21" t="n"/>
      <c r="D83" s="23" t="n"/>
    </row>
    <row r="84">
      <c r="A84" s="19" t="n"/>
      <c r="B84" s="20" t="n"/>
      <c r="C84" s="21" t="n"/>
      <c r="D84" s="23" t="n"/>
    </row>
    <row r="85">
      <c r="A85" s="19" t="n"/>
      <c r="B85" s="20" t="n"/>
      <c r="C85" s="21" t="n"/>
      <c r="D85" s="23" t="n"/>
    </row>
    <row r="86">
      <c r="A86" s="19" t="n"/>
      <c r="B86" s="20" t="n"/>
      <c r="C86" s="21" t="n"/>
      <c r="D86" s="23" t="n"/>
    </row>
    <row r="87">
      <c r="A87" s="19" t="n"/>
      <c r="B87" s="20" t="n"/>
      <c r="C87" s="21" t="n"/>
      <c r="D87" s="23" t="n"/>
    </row>
    <row r="88">
      <c r="A88" s="19" t="n"/>
      <c r="B88" s="20" t="n"/>
      <c r="C88" s="21" t="n"/>
      <c r="D88" s="23" t="n"/>
    </row>
    <row r="89">
      <c r="A89" s="19" t="n"/>
      <c r="B89" s="20" t="n"/>
      <c r="C89" s="21" t="n"/>
      <c r="D89" s="23" t="n"/>
    </row>
    <row r="90">
      <c r="A90" s="19" t="n"/>
      <c r="B90" s="20" t="n"/>
      <c r="C90" s="21" t="n"/>
      <c r="D90" s="23" t="n"/>
    </row>
    <row r="91">
      <c r="A91" s="19" t="n"/>
      <c r="B91" s="20" t="n"/>
      <c r="C91" s="21" t="n"/>
      <c r="D91" s="23" t="n"/>
    </row>
    <row r="92">
      <c r="A92" s="19" t="n"/>
      <c r="B92" s="20" t="n"/>
      <c r="C92" s="21" t="n"/>
      <c r="D92" s="23" t="n"/>
    </row>
    <row r="93">
      <c r="A93" s="19" t="n"/>
      <c r="B93" s="20" t="n"/>
      <c r="C93" s="21" t="n"/>
      <c r="D93" s="23" t="n"/>
    </row>
    <row r="94">
      <c r="A94" s="19" t="n"/>
      <c r="B94" s="20" t="n"/>
      <c r="C94" s="21" t="n"/>
      <c r="D94" s="23" t="n"/>
    </row>
    <row r="95">
      <c r="A95" s="19" t="n"/>
      <c r="B95" s="20" t="n"/>
      <c r="C95" s="21" t="n"/>
      <c r="D95" s="23" t="n"/>
    </row>
    <row r="96">
      <c r="A96" s="19" t="n"/>
      <c r="B96" s="20" t="n"/>
      <c r="C96" s="21" t="n"/>
      <c r="D96" s="23" t="n"/>
    </row>
    <row r="97">
      <c r="A97" s="19" t="n"/>
      <c r="B97" s="20" t="n"/>
      <c r="C97" s="21" t="n"/>
      <c r="D97" s="23" t="n"/>
    </row>
    <row r="98">
      <c r="A98" s="19" t="n"/>
      <c r="B98" s="20" t="n"/>
      <c r="C98" s="21" t="n"/>
      <c r="D98" s="23" t="n"/>
    </row>
    <row r="99">
      <c r="A99" s="19" t="n"/>
      <c r="B99" s="20" t="n"/>
      <c r="C99" s="21" t="n"/>
      <c r="D99" s="23" t="n"/>
    </row>
    <row r="100">
      <c r="A100" s="19" t="n"/>
      <c r="B100" s="20" t="n"/>
      <c r="C100" s="21" t="n"/>
      <c r="D100" s="23" t="n"/>
    </row>
    <row r="101">
      <c r="A101" s="19" t="n"/>
      <c r="B101" s="20" t="n"/>
      <c r="C101" s="21" t="n"/>
      <c r="D101" s="23" t="n"/>
    </row>
    <row r="102">
      <c r="A102" s="19" t="n"/>
      <c r="B102" s="20" t="n"/>
      <c r="C102" s="21" t="n"/>
      <c r="D102" s="23" t="n"/>
    </row>
    <row r="103">
      <c r="A103" s="19" t="n"/>
      <c r="B103" s="20" t="n"/>
      <c r="C103" s="21" t="n"/>
      <c r="D103" s="23" t="n"/>
    </row>
    <row r="104">
      <c r="A104" s="19" t="n"/>
      <c r="B104" s="20" t="n"/>
      <c r="C104" s="21" t="n"/>
      <c r="D104" s="23" t="n"/>
    </row>
    <row r="105">
      <c r="A105" s="19" t="n"/>
      <c r="B105" s="20" t="n"/>
      <c r="C105" s="21" t="n"/>
      <c r="D105" s="23" t="n"/>
    </row>
    <row r="106">
      <c r="A106" s="19" t="n"/>
      <c r="B106" s="20" t="n"/>
      <c r="C106" s="21" t="n"/>
      <c r="D106" s="23" t="n"/>
    </row>
    <row r="107">
      <c r="A107" s="19" t="n"/>
      <c r="B107" s="20" t="n"/>
      <c r="C107" s="21" t="n"/>
      <c r="D107" s="23" t="n"/>
    </row>
    <row r="108">
      <c r="A108" s="19" t="n"/>
      <c r="B108" s="20" t="n"/>
      <c r="C108" s="21" t="n"/>
      <c r="D108" s="23" t="n"/>
    </row>
    <row r="109">
      <c r="A109" s="19" t="n"/>
      <c r="B109" s="20" t="n"/>
      <c r="C109" s="21" t="n"/>
      <c r="D109" s="23" t="n"/>
    </row>
    <row r="110">
      <c r="A110" s="19" t="n"/>
      <c r="B110" s="20" t="n"/>
      <c r="C110" s="21" t="n"/>
      <c r="D110" s="23" t="n"/>
    </row>
    <row r="111">
      <c r="A111" s="19" t="n"/>
      <c r="B111" s="20" t="n"/>
      <c r="C111" s="21" t="n"/>
      <c r="D111" s="23" t="n"/>
    </row>
    <row r="112">
      <c r="A112" s="19" t="n"/>
      <c r="B112" s="20" t="n"/>
      <c r="C112" s="21" t="n"/>
      <c r="D112" s="23" t="n"/>
    </row>
    <row r="113">
      <c r="A113" s="19" t="n"/>
      <c r="B113" s="20" t="n"/>
      <c r="C113" s="21" t="n"/>
      <c r="D113" s="23" t="n"/>
    </row>
    <row r="114">
      <c r="A114" s="19" t="n"/>
      <c r="B114" s="20" t="n"/>
      <c r="C114" s="21" t="n"/>
      <c r="D114" s="23" t="n"/>
    </row>
    <row r="115">
      <c r="A115" s="19" t="n"/>
      <c r="B115" s="20" t="n"/>
      <c r="C115" s="21" t="n"/>
      <c r="D115" s="23" t="n"/>
    </row>
    <row r="116">
      <c r="A116" s="19" t="n"/>
      <c r="B116" s="20" t="n"/>
      <c r="C116" s="21" t="n"/>
      <c r="D116" s="23" t="n"/>
    </row>
    <row r="117">
      <c r="A117" s="19" t="n"/>
      <c r="B117" s="20" t="n"/>
      <c r="C117" s="21" t="n"/>
      <c r="D117" s="23" t="n"/>
    </row>
    <row r="118">
      <c r="A118" s="19" t="n"/>
      <c r="B118" s="20" t="n"/>
      <c r="C118" s="21" t="n"/>
      <c r="D118" s="23" t="n"/>
    </row>
    <row r="119">
      <c r="A119" s="19" t="n"/>
      <c r="B119" s="20" t="n"/>
      <c r="C119" s="21" t="n"/>
      <c r="D119" s="23" t="n"/>
    </row>
    <row r="120">
      <c r="A120" s="19" t="n"/>
      <c r="B120" s="20" t="n"/>
      <c r="C120" s="21" t="n"/>
      <c r="D120" s="23" t="n"/>
    </row>
    <row r="121">
      <c r="A121" s="19" t="n"/>
      <c r="B121" s="20" t="n"/>
      <c r="C121" s="21" t="n"/>
      <c r="D121" s="23" t="n"/>
    </row>
    <row r="122">
      <c r="A122" s="19" t="n"/>
      <c r="B122" s="20" t="n"/>
      <c r="C122" s="21" t="n"/>
      <c r="D122" s="23" t="n"/>
    </row>
    <row r="123">
      <c r="A123" s="19" t="n"/>
      <c r="B123" s="20" t="n"/>
      <c r="C123" s="21" t="n"/>
      <c r="D123" s="23" t="n"/>
    </row>
    <row r="124">
      <c r="A124" s="19" t="n"/>
      <c r="B124" s="20" t="n"/>
      <c r="C124" s="21" t="n"/>
      <c r="D124" s="23" t="n"/>
    </row>
    <row r="125">
      <c r="A125" s="19" t="n"/>
      <c r="B125" s="20" t="n"/>
      <c r="C125" s="21" t="n"/>
      <c r="D125" s="23" t="n"/>
    </row>
    <row r="126">
      <c r="A126" s="19" t="n"/>
      <c r="B126" s="20" t="n"/>
      <c r="C126" s="21" t="n"/>
      <c r="D126" s="23" t="n"/>
    </row>
    <row r="127">
      <c r="A127" s="19" t="n"/>
      <c r="B127" s="20" t="n"/>
      <c r="C127" s="21" t="n"/>
      <c r="D127" s="23" t="n"/>
    </row>
    <row r="128">
      <c r="A128" s="19" t="n"/>
      <c r="B128" s="20" t="n"/>
      <c r="C128" s="21" t="n"/>
      <c r="D128" s="23" t="n"/>
    </row>
    <row r="129">
      <c r="A129" s="19" t="n"/>
      <c r="B129" s="20" t="n"/>
      <c r="C129" s="21" t="n"/>
      <c r="D129" s="23" t="n"/>
    </row>
    <row r="130">
      <c r="A130" s="19" t="n"/>
      <c r="B130" s="20" t="n"/>
      <c r="C130" s="21" t="n"/>
      <c r="D130" s="23" t="n"/>
    </row>
    <row r="131">
      <c r="A131" s="19" t="n"/>
      <c r="B131" s="20" t="n"/>
      <c r="C131" s="21" t="n"/>
      <c r="D131" s="23" t="n"/>
    </row>
    <row r="132">
      <c r="A132" s="19" t="n"/>
      <c r="B132" s="20" t="n"/>
      <c r="C132" s="21" t="n"/>
      <c r="D132" s="23" t="n"/>
    </row>
    <row r="133">
      <c r="A133" s="19" t="n"/>
      <c r="B133" s="20" t="n"/>
      <c r="C133" s="21" t="n"/>
      <c r="D133" s="23" t="n"/>
    </row>
    <row r="134">
      <c r="A134" s="19" t="n"/>
      <c r="B134" s="20" t="n"/>
      <c r="C134" s="21" t="n"/>
      <c r="D134" s="23" t="n"/>
    </row>
    <row r="135">
      <c r="A135" s="19" t="n"/>
      <c r="B135" s="20" t="n"/>
      <c r="C135" s="21" t="n"/>
      <c r="D135" s="23" t="n"/>
    </row>
    <row r="136">
      <c r="A136" s="19" t="n"/>
      <c r="B136" s="20" t="n"/>
      <c r="C136" s="21" t="n"/>
      <c r="D136" s="23" t="n"/>
    </row>
    <row r="137">
      <c r="A137" s="19" t="n"/>
      <c r="B137" s="20" t="n"/>
      <c r="C137" s="21" t="n"/>
      <c r="D137" s="23" t="n"/>
    </row>
    <row r="138">
      <c r="A138" s="19" t="n"/>
      <c r="B138" s="20" t="n"/>
      <c r="C138" s="21" t="n"/>
      <c r="D138" s="23" t="n"/>
    </row>
    <row r="139">
      <c r="A139" s="19" t="n"/>
      <c r="B139" s="20" t="n"/>
      <c r="C139" s="21" t="n"/>
      <c r="D139" s="23" t="n"/>
    </row>
    <row r="140">
      <c r="A140" s="19" t="n"/>
      <c r="B140" s="20" t="n"/>
      <c r="C140" s="21" t="n"/>
      <c r="D140" s="23" t="n"/>
    </row>
    <row r="141">
      <c r="A141" s="19" t="n"/>
      <c r="B141" s="20" t="n"/>
      <c r="C141" s="21" t="n"/>
      <c r="D141" s="23" t="n"/>
    </row>
    <row r="142">
      <c r="A142" s="19" t="n"/>
      <c r="B142" s="20" t="n"/>
      <c r="C142" s="21" t="n"/>
      <c r="D142" s="23" t="n"/>
    </row>
    <row r="143">
      <c r="A143" s="19" t="n"/>
      <c r="B143" s="20" t="n"/>
      <c r="C143" s="21" t="n"/>
      <c r="D143" s="23" t="n"/>
    </row>
    <row r="144">
      <c r="A144" s="19" t="n"/>
      <c r="B144" s="20" t="n"/>
      <c r="C144" s="21" t="n"/>
      <c r="D144" s="23" t="n"/>
    </row>
    <row r="145">
      <c r="A145" s="19" t="n"/>
      <c r="B145" s="20" t="n"/>
      <c r="C145" s="21" t="n"/>
      <c r="D145" s="23" t="n"/>
    </row>
    <row r="146">
      <c r="A146" s="19" t="n"/>
      <c r="B146" s="20" t="n"/>
      <c r="C146" s="21" t="n"/>
      <c r="D146" s="23" t="n"/>
    </row>
    <row r="147">
      <c r="A147" s="19" t="n"/>
      <c r="B147" s="20" t="n"/>
      <c r="C147" s="21" t="n"/>
      <c r="D147" s="23" t="n"/>
    </row>
    <row r="148">
      <c r="A148" s="19" t="n"/>
      <c r="B148" s="20" t="n"/>
      <c r="C148" s="21" t="n"/>
      <c r="D148" s="23" t="n"/>
    </row>
    <row r="149">
      <c r="A149" s="19" t="n"/>
      <c r="B149" s="20" t="n"/>
      <c r="C149" s="21" t="n"/>
      <c r="D149" s="23" t="n"/>
    </row>
    <row r="150">
      <c r="A150" s="19" t="n"/>
      <c r="B150" s="20" t="n"/>
      <c r="C150" s="21" t="n"/>
      <c r="D150" s="23" t="n"/>
    </row>
    <row r="151">
      <c r="A151" s="19" t="n"/>
      <c r="B151" s="20" t="n"/>
      <c r="C151" s="21" t="n"/>
      <c r="D151" s="23" t="n"/>
    </row>
    <row r="152">
      <c r="A152" s="19" t="n"/>
      <c r="B152" s="20" t="n"/>
      <c r="C152" s="21" t="n"/>
      <c r="D152" s="23" t="n"/>
    </row>
    <row r="153">
      <c r="A153" s="19" t="n"/>
      <c r="B153" s="20" t="n"/>
      <c r="C153" s="21" t="n"/>
      <c r="D153" s="23" t="n"/>
    </row>
    <row r="154">
      <c r="A154" s="19" t="n"/>
      <c r="B154" s="20" t="n"/>
      <c r="C154" s="21" t="n"/>
      <c r="D154" s="23" t="n"/>
    </row>
    <row r="155">
      <c r="A155" s="19" t="n"/>
      <c r="B155" s="20" t="n"/>
      <c r="C155" s="21" t="n"/>
      <c r="D155" s="23" t="n"/>
    </row>
    <row r="156">
      <c r="A156" s="19" t="n"/>
      <c r="B156" s="20" t="n"/>
      <c r="C156" s="21" t="n"/>
      <c r="D156" s="23" t="n"/>
    </row>
    <row r="157">
      <c r="A157" s="19" t="n"/>
      <c r="B157" s="20" t="n"/>
      <c r="C157" s="21" t="n"/>
      <c r="D157" s="23" t="n"/>
    </row>
    <row r="158">
      <c r="A158" s="19" t="n"/>
      <c r="B158" s="20" t="n"/>
      <c r="C158" s="21" t="n"/>
      <c r="D158" s="23" t="n"/>
    </row>
    <row r="159">
      <c r="A159" s="19" t="n"/>
      <c r="B159" s="20" t="n"/>
      <c r="C159" s="21" t="n"/>
      <c r="D159" s="23" t="n"/>
    </row>
    <row r="160">
      <c r="A160" s="19" t="n"/>
      <c r="B160" s="20" t="n"/>
      <c r="C160" s="21" t="n"/>
      <c r="D160" s="23" t="n"/>
    </row>
    <row r="161">
      <c r="A161" s="19" t="n"/>
      <c r="B161" s="20" t="n"/>
      <c r="C161" s="21" t="n"/>
      <c r="D161" s="23" t="n"/>
    </row>
    <row r="162">
      <c r="A162" s="19" t="n"/>
      <c r="B162" s="20" t="n"/>
      <c r="C162" s="21" t="n"/>
      <c r="D162" s="23" t="n"/>
    </row>
    <row r="163">
      <c r="A163" s="19" t="n"/>
      <c r="B163" s="20" t="n"/>
      <c r="C163" s="21" t="n"/>
      <c r="D163" s="23" t="n"/>
    </row>
    <row r="164">
      <c r="A164" s="19" t="n"/>
      <c r="B164" s="20" t="n"/>
      <c r="C164" s="21" t="n"/>
      <c r="D164" s="23" t="n"/>
    </row>
    <row r="165">
      <c r="A165" s="19" t="n"/>
      <c r="B165" s="20" t="n"/>
      <c r="C165" s="21" t="n"/>
      <c r="D165" s="23" t="n"/>
    </row>
    <row r="166">
      <c r="A166" s="19" t="n"/>
      <c r="B166" s="20" t="n"/>
      <c r="C166" s="21" t="n"/>
      <c r="D166" s="23" t="n"/>
    </row>
    <row r="167">
      <c r="A167" s="19" t="n"/>
      <c r="B167" s="20" t="n"/>
      <c r="C167" s="21" t="n"/>
      <c r="D167" s="23" t="n"/>
    </row>
    <row r="168">
      <c r="A168" s="19" t="n"/>
      <c r="B168" s="20" t="n"/>
      <c r="C168" s="21" t="n"/>
      <c r="D168" s="23" t="n"/>
    </row>
    <row r="169">
      <c r="A169" s="19" t="n"/>
      <c r="B169" s="20" t="n"/>
      <c r="C169" s="21" t="n"/>
      <c r="D169" s="23" t="n"/>
    </row>
    <row r="170">
      <c r="A170" s="19" t="n"/>
      <c r="B170" s="20" t="n"/>
      <c r="C170" s="21" t="n"/>
      <c r="D170" s="23" t="n"/>
    </row>
    <row r="171">
      <c r="A171" s="19" t="n"/>
      <c r="B171" s="20" t="n"/>
      <c r="C171" s="21" t="n"/>
      <c r="D171" s="23" t="n"/>
    </row>
    <row r="172">
      <c r="A172" s="19" t="n"/>
      <c r="B172" s="20" t="n"/>
      <c r="C172" s="21" t="n"/>
      <c r="D172" s="23" t="n"/>
    </row>
    <row r="173">
      <c r="A173" s="19" t="n"/>
      <c r="B173" s="20" t="n"/>
      <c r="C173" s="21" t="n"/>
      <c r="D173" s="23" t="n"/>
    </row>
    <row r="174">
      <c r="A174" s="19" t="n"/>
      <c r="B174" s="20" t="n"/>
      <c r="C174" s="21" t="n"/>
      <c r="D174" s="23" t="n"/>
    </row>
    <row r="175">
      <c r="A175" s="19" t="n"/>
      <c r="B175" s="20" t="n"/>
      <c r="C175" s="21" t="n"/>
      <c r="D175" s="23" t="n"/>
    </row>
    <row r="176">
      <c r="A176" s="19" t="n"/>
      <c r="B176" s="20" t="n"/>
      <c r="C176" s="21" t="n"/>
      <c r="D176" s="23" t="n"/>
    </row>
    <row r="177">
      <c r="A177" s="19" t="n"/>
      <c r="B177" s="20" t="n"/>
      <c r="C177" s="21" t="n"/>
      <c r="D177" s="23" t="n"/>
    </row>
    <row r="178">
      <c r="A178" s="19" t="n"/>
      <c r="B178" s="20" t="n"/>
      <c r="C178" s="21" t="n"/>
      <c r="D178" s="23" t="n"/>
    </row>
    <row r="179">
      <c r="A179" s="19" t="n"/>
      <c r="B179" s="20" t="n"/>
      <c r="C179" s="21" t="n"/>
      <c r="D179" s="23" t="n"/>
    </row>
    <row r="180">
      <c r="A180" s="19" t="n"/>
      <c r="B180" s="20" t="n"/>
      <c r="C180" s="21" t="n"/>
      <c r="D180" s="23" t="n"/>
    </row>
    <row r="181">
      <c r="A181" s="19" t="n"/>
      <c r="B181" s="20" t="n"/>
      <c r="C181" s="21" t="n"/>
      <c r="D181" s="23" t="n"/>
    </row>
    <row r="182">
      <c r="A182" s="19" t="n"/>
      <c r="B182" s="20" t="n"/>
      <c r="C182" s="21" t="n"/>
      <c r="D182" s="23" t="n"/>
    </row>
    <row r="183">
      <c r="A183" s="19" t="n"/>
      <c r="B183" s="20" t="n"/>
      <c r="C183" s="21" t="n"/>
      <c r="D183" s="23" t="n"/>
    </row>
    <row r="184">
      <c r="A184" s="19" t="n"/>
      <c r="B184" s="20" t="n"/>
      <c r="C184" s="21" t="n"/>
      <c r="D184" s="23" t="n"/>
    </row>
    <row r="185">
      <c r="A185" s="19" t="n"/>
      <c r="B185" s="20" t="n"/>
      <c r="C185" s="21" t="n"/>
      <c r="D185" s="23" t="n"/>
    </row>
    <row r="186">
      <c r="A186" s="19" t="n"/>
      <c r="B186" s="20" t="n"/>
      <c r="C186" s="21" t="n"/>
      <c r="D186" s="23" t="n"/>
    </row>
    <row r="187">
      <c r="A187" s="19" t="n"/>
      <c r="B187" s="20" t="n"/>
      <c r="C187" s="21" t="n"/>
      <c r="D187" s="23" t="n"/>
    </row>
    <row r="188">
      <c r="A188" s="19" t="n"/>
      <c r="B188" s="20" t="n"/>
      <c r="C188" s="21" t="n"/>
      <c r="D188" s="23" t="n"/>
    </row>
    <row r="189">
      <c r="A189" s="19" t="n"/>
      <c r="B189" s="20" t="n"/>
      <c r="C189" s="21" t="n"/>
      <c r="D189" s="23" t="n"/>
    </row>
    <row r="190">
      <c r="A190" s="19" t="n"/>
      <c r="B190" s="20" t="n"/>
      <c r="C190" s="21" t="n"/>
      <c r="D190" s="23" t="n"/>
    </row>
    <row r="191">
      <c r="A191" s="19" t="n"/>
      <c r="B191" s="20" t="n"/>
      <c r="C191" s="21" t="n"/>
      <c r="D191" s="23" t="n"/>
    </row>
    <row r="192">
      <c r="A192" s="19" t="n"/>
      <c r="B192" s="20" t="n"/>
      <c r="C192" s="21" t="n"/>
      <c r="D192" s="23" t="n"/>
    </row>
    <row r="193">
      <c r="A193" s="19" t="n"/>
      <c r="B193" s="20" t="n"/>
      <c r="C193" s="21" t="n"/>
      <c r="D193" s="23" t="n"/>
    </row>
    <row r="194">
      <c r="A194" s="19" t="n"/>
      <c r="B194" s="20" t="n"/>
      <c r="C194" s="21" t="n"/>
      <c r="D194" s="23" t="n"/>
    </row>
    <row r="195">
      <c r="A195" s="19" t="n"/>
      <c r="B195" s="20" t="n"/>
      <c r="C195" s="21" t="n"/>
      <c r="D195" s="23" t="n"/>
    </row>
    <row r="196">
      <c r="A196" s="19" t="n"/>
      <c r="B196" s="20" t="n"/>
      <c r="C196" s="21" t="n"/>
      <c r="D196" s="23" t="n"/>
    </row>
    <row r="197">
      <c r="A197" s="19" t="n"/>
      <c r="B197" s="20" t="n"/>
      <c r="C197" s="21" t="n"/>
      <c r="D197" s="23" t="n"/>
    </row>
    <row r="198">
      <c r="A198" s="19" t="n"/>
      <c r="B198" s="20" t="n"/>
      <c r="C198" s="21" t="n"/>
      <c r="D198" s="23" t="n"/>
    </row>
    <row r="199">
      <c r="A199" s="19" t="n"/>
      <c r="B199" s="20" t="n"/>
      <c r="C199" s="21" t="n"/>
      <c r="D199" s="23" t="n"/>
    </row>
    <row r="200">
      <c r="A200" s="19" t="n"/>
      <c r="B200" s="20" t="n"/>
      <c r="C200" s="21" t="n"/>
      <c r="D200" s="23" t="n"/>
    </row>
    <row r="201">
      <c r="A201" s="19" t="n"/>
      <c r="B201" s="20" t="n"/>
      <c r="C201" s="21" t="n"/>
      <c r="D201" s="23" t="n"/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40" customWidth="1" min="3" max="3"/>
  </cols>
  <sheetData>
    <row r="1">
      <c r="A1" s="6" t="inlineStr">
        <is>
          <t>まとめ(自動計算)</t>
        </is>
      </c>
    </row>
    <row r="2">
      <c r="A2" s="7" t="inlineStr">
        <is>
          <t>※ いまはサンプル(架空)の数字で計算しています。自分の記録を入れると、ここが自動で変わります。</t>
        </is>
      </c>
    </row>
    <row r="4" ht="30" customHeight="1">
      <c r="A4" s="16" t="inlineStr">
        <is>
          <t>売上の合計(円)</t>
        </is>
      </c>
      <c r="B4" s="24">
        <f>SUMIFS(売上記録!$D$2:$D$201,売上記録!$H$2:$H$201,"&gt;=0")</f>
        <v/>
      </c>
      <c r="C4" s="14" t="inlineStr">
        <is>
          <t>手数料を引く前の金額(売り場を選んだ行だけ)</t>
        </is>
      </c>
    </row>
    <row r="5" ht="30" customHeight="1">
      <c r="A5" s="16" t="inlineStr">
        <is>
          <t>売り場に引かれた手数料(円)</t>
        </is>
      </c>
      <c r="B5" s="24">
        <f>SUM(売上記録!$H$2:$H$201)</f>
        <v/>
      </c>
      <c r="C5" s="14" t="inlineStr">
        <is>
          <t>決済手数料+利用料+固定額</t>
        </is>
      </c>
    </row>
    <row r="6" ht="30" customHeight="1">
      <c r="A6" s="16" t="inlineStr">
        <is>
          <t>手取りの合計(円)</t>
        </is>
      </c>
      <c r="B6" s="25">
        <f>SUM(売上記録!$I$2:$I$201)</f>
        <v/>
      </c>
      <c r="C6" s="14" t="inlineStr">
        <is>
          <t>売上 − 手数料</t>
        </is>
      </c>
    </row>
    <row r="7" ht="30" customHeight="1">
      <c r="A7" s="16" t="inlineStr">
        <is>
          <t>経費の合計(円)</t>
        </is>
      </c>
      <c r="B7" s="24">
        <f>SUM(経費!$C$2:$C$201)</f>
        <v/>
      </c>
      <c r="C7" s="14" t="inlineStr">
        <is>
          <t>「経費」シートの合計</t>
        </is>
      </c>
    </row>
    <row r="8" ht="30" customHeight="1">
      <c r="A8" s="16" t="inlineStr">
        <is>
          <t>所得=もうけ(円)</t>
        </is>
      </c>
      <c r="B8" s="25">
        <f>B6-B7</f>
        <v/>
      </c>
      <c r="C8" s="14" t="inlineStr">
        <is>
          <t>手取り − 経費(マイナスは赤字)</t>
        </is>
      </c>
    </row>
    <row r="9" ht="30" customHeight="1">
      <c r="A9" s="16" t="inlineStr">
        <is>
          <t>売れた件数</t>
        </is>
      </c>
      <c r="B9" s="26">
        <f>COUNT(売上記録!$I$2:$I$201)</f>
        <v/>
      </c>
      <c r="C9" s="14" t="inlineStr">
        <is>
          <t>手取りが計算できた行の数</t>
        </is>
      </c>
    </row>
    <row r="10" ht="30" customHeight="1">
      <c r="A10" s="16" t="inlineStr">
        <is>
          <t>1件あたりの平均手取り(円)</t>
        </is>
      </c>
      <c r="B10" s="24">
        <f>IF(B9=0,"まだ売上がありません",ROUND(B6/B9,0))</f>
        <v/>
      </c>
      <c r="C10" s="14" t="inlineStr">
        <is>
          <t>円未満は四捨五入</t>
        </is>
      </c>
    </row>
    <row r="11" ht="30" customHeight="1">
      <c r="A11" s="16" t="inlineStr">
        <is>
          <t>Claude Codeの月額(円)</t>
        </is>
      </c>
      <c r="B11" s="24">
        <f>IF(設定!B15="","設定で為替レートを入れると出ます",設定!B15)</f>
        <v/>
      </c>
      <c r="C11" s="14" t="inlineStr">
        <is>
          <t>「設定」の月額(ドル)×為替レート</t>
        </is>
      </c>
    </row>
    <row r="12" ht="30" customHeight="1">
      <c r="A12" s="16" t="inlineStr">
        <is>
          <t>月額の元を取るのに必要な件数(1か月あたり)</t>
        </is>
      </c>
      <c r="B12" s="26">
        <f>IF(B9=0,"売上が入ると出ます",IF(NOT(ISNUMBER(B11)),"設定で為替レートを入れると出ます",IF(B6&lt;=0,"手取りが0円以下のため出せません",ROUNDUP(ROUND(B11/(B6/B9),6),0))))</f>
        <v/>
      </c>
      <c r="C12" s="14" t="inlineStr">
        <is>
          <t>月額 ÷ 1件あたりの平均手取り(切り上げ)</t>
        </is>
      </c>
    </row>
    <row r="13" ht="30" customHeight="1">
      <c r="A13" s="16" t="inlineStr">
        <is>
          <t>年20万円の目安までの残り(円)</t>
        </is>
      </c>
      <c r="B13" s="24">
        <f>IF(B8&gt;=設定!$B$18,0,設定!$B$18-MAX(B8,0))</f>
        <v/>
      </c>
      <c r="C13" s="14" t="inlineStr">
        <is>
          <t>0円なら、目安に届いています</t>
        </is>
      </c>
    </row>
    <row r="15" ht="66" customHeight="1">
      <c r="A15" s="27" t="inlineStr">
        <is>
          <t>判定の目安</t>
        </is>
      </c>
      <c r="B15" s="28">
        <f>IF(AND(B9=0,B7=0),"まだ記録がありません。売上や経費を入れると、ここに目安が出ます。",IF(B8&lt;0,"今は赤字です(経費が手取りより"&amp;TEXT(-B8,"#,##0")&amp;"円多い)。最初の数か月は、よくあることです。所得はマイナスなので、20万円の目安には届いていません。",IF(B8&gt;設定!$B$18,"所得が"&amp;TEXT(設定!$B$18,"#,##0")&amp;"円を超えています("&amp;TEXT(B8,"#,##0")&amp;"円)。給料を1か所からもらい、税金が天引きされている人は、所得税の確定申告が必要になる目安です。",IF(B8=設定!$B$18,"所得は"&amp;TEXT(設定!$B$18,"#,##0")&amp;"円ちょうどです。「超える」ではないので、まだ目安の内側です(所得税の確定申告は原則いらない目安)。1円でも増えると超えます。","所得は"&amp;TEXT(設定!$B$18,"#,##0")&amp;"円以下です("&amp;TEXT(B8,"#,##0")&amp;"円。"&amp;TEXT(設定!$B$18,"#,##0")&amp;"円まで、あと"&amp;TEXT(設定!$B$18-B8,"#,##0")&amp;"円)。給料を1か所からもらい、税金が天引きされている人は、所得税の確定申告は原則いらない目安です。"))))</f>
        <v/>
      </c>
    </row>
    <row r="16" ht="30" customHeight="1">
      <c r="A16" s="16" t="inlineStr">
        <is>
          <t>記入もれの確認</t>
        </is>
      </c>
      <c r="B16" s="29">
        <f>IF(SUMPRODUCT((売上記録!$D$2:$D$201&lt;&gt;"")*(売上記録!$B$2:$B$201=""))=0,"なし","売上額があるのに売り場が空の行が"&amp;SUMPRODUCT((売上記録!$D$2:$D$201&lt;&gt;"")*(売上記録!$B$2:$B$201=""))&amp;"行あります(計算に入っていません)")</f>
        <v/>
      </c>
    </row>
    <row r="18">
      <c r="A18" s="30" t="inlineStr">
        <is>
          <t>【注意】</t>
        </is>
      </c>
    </row>
    <row r="19">
      <c r="A19" s="8" t="inlineStr">
        <is>
          <t>・これは税の相談ではありません。判定は一般的な目安です。あなたの場合どうなるかは、税務署・市区町村・税理士に確認してください。</t>
        </is>
      </c>
    </row>
    <row r="20">
      <c r="A20" s="8" t="inlineStr">
        <is>
          <t>・20万円の目安は所得税の話です。住民税は別で、20万円以下でも住民税の申告が必要な市区町村が多くあります。</t>
        </is>
      </c>
    </row>
    <row r="21">
      <c r="A21" s="8" t="inlineStr">
        <is>
          <t>・判定は「給料を1か所からもらい、税金が天引きされている人」の目安です。ほかの条件に当てはまると変わります。</t>
        </is>
      </c>
    </row>
    <row r="22">
      <c r="A22" s="8" t="inlineStr">
        <is>
          <t>・最新の手数料は、各売り場の公式ページで確認してください(このシートの初期値は2026年10月時点の目安)。</t>
        </is>
      </c>
    </row>
    <row r="23">
      <c r="A23" s="8" t="inlineStr">
        <is>
          <t>・所得 = 売上 − 手数料 − 経費 です(手取り − 経費 と同じ)。</t>
        </is>
      </c>
    </row>
  </sheetData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8" customWidth="1" min="7" max="7"/>
  </cols>
  <sheetData>
    <row r="1">
      <c r="A1" s="6" t="inlineStr">
        <is>
          <t>手取り早見(1件売れたときの手取り)</t>
        </is>
      </c>
    </row>
    <row r="2">
      <c r="A2" s="8" t="inlineStr">
        <is>
          <t>黄色の売値を書き換えると、「設定」の手数料で、売り場ごとの1件の手取りが出ます。</t>
        </is>
      </c>
    </row>
    <row r="3">
      <c r="A3" s="8" t="inlineStr">
        <is>
          <t>手数料は2026年10月時点の目安です。使う前に、各売り場の公式ページで確認してください。</t>
        </is>
      </c>
    </row>
    <row r="4">
      <c r="A4" s="15" t="inlineStr">
        <is>
          <t>1件の手取り(円) = 売値 − 手数料合計</t>
        </is>
      </c>
    </row>
    <row r="5" ht="48" customHeight="1">
      <c r="A5" s="9" t="inlineStr">
        <is>
          <t>売値(円)</t>
        </is>
      </c>
      <c r="B5" s="9">
        <f>設定!$A$6</f>
        <v/>
      </c>
      <c r="C5" s="9">
        <f>設定!$A$7</f>
        <v/>
      </c>
      <c r="D5" s="9">
        <f>設定!$A$8</f>
        <v/>
      </c>
      <c r="E5" s="9">
        <f>設定!$A$9</f>
        <v/>
      </c>
      <c r="F5" s="9">
        <f>設定!$A$10</f>
        <v/>
      </c>
      <c r="G5" s="9">
        <f>設定!$A$8&amp;"で1件だけ売って振り込んだ場合(振込手数料を1回引く)"</f>
        <v/>
      </c>
    </row>
    <row r="6">
      <c r="A6" s="31" t="n">
        <v>500</v>
      </c>
      <c r="B6" s="32">
        <f>IF(ISNUMBER($A6),$A6-(IF(設定!$E$6="切り上げ",ROUNDUP(ROUND($A6*設定!$B$6,6),0),ROUNDDOWN(ROUND($A6*設定!$B$6,6),0))+IF(設定!$E$6="切り上げ",ROUNDUP(ROUND(($A6-IF(設定!$E$6="切り上げ",ROUNDUP(ROUND($A6*設定!$B$6,6),0),ROUNDDOWN(ROUND($A6*設定!$B$6,6),0)))*設定!$C$6,6),0),ROUNDDOWN(ROUND(($A6-IF(設定!$E$6="切り上げ",ROUNDUP(ROUND($A6*設定!$B$6,6),0),ROUNDDOWN(ROUND($A6*設定!$B$6,6),0)))*設定!$C$6,6),0))+設定!$D$6),"")</f>
        <v/>
      </c>
      <c r="C6" s="32">
        <f>IF(ISNUMBER($A6),$A6-(IF(設定!$E$7="切り上げ",ROUNDUP(ROUND($A6*設定!$B$7,6),0),ROUNDDOWN(ROUND($A6*設定!$B$7,6),0))+IF(設定!$E$7="切り上げ",ROUNDUP(ROUND(($A6-IF(設定!$E$7="切り上げ",ROUNDUP(ROUND($A6*設定!$B$7,6),0),ROUNDDOWN(ROUND($A6*設定!$B$7,6),0)))*設定!$C$7,6),0),ROUNDDOWN(ROUND(($A6-IF(設定!$E$7="切り上げ",ROUNDUP(ROUND($A6*設定!$B$7,6),0),ROUNDDOWN(ROUND($A6*設定!$B$7,6),0)))*設定!$C$7,6),0))+設定!$D$7),"")</f>
        <v/>
      </c>
      <c r="D6" s="32">
        <f>IF(ISNUMBER($A6),$A6-(IF(設定!$E$8="切り上げ",ROUNDUP(ROUND($A6*設定!$B$8,6),0),ROUNDDOWN(ROUND($A6*設定!$B$8,6),0))+IF(設定!$E$8="切り上げ",ROUNDUP(ROUND(($A6-IF(設定!$E$8="切り上げ",ROUNDUP(ROUND($A6*設定!$B$8,6),0),ROUNDDOWN(ROUND($A6*設定!$B$8,6),0)))*設定!$C$8,6),0),ROUNDDOWN(ROUND(($A6-IF(設定!$E$8="切り上げ",ROUNDUP(ROUND($A6*設定!$B$8,6),0),ROUNDDOWN(ROUND($A6*設定!$B$8,6),0)))*設定!$C$8,6),0))+設定!$D$8),"")</f>
        <v/>
      </c>
      <c r="E6" s="32">
        <f>IF(ISNUMBER($A6),$A6-(IF(設定!$E$9="切り上げ",ROUNDUP(ROUND($A6*設定!$B$9,6),0),ROUNDDOWN(ROUND($A6*設定!$B$9,6),0))+IF(設定!$E$9="切り上げ",ROUNDUP(ROUND(($A6-IF(設定!$E$9="切り上げ",ROUNDUP(ROUND($A6*設定!$B$9,6),0),ROUNDDOWN(ROUND($A6*設定!$B$9,6),0)))*設定!$C$9,6),0),ROUNDDOWN(ROUND(($A6-IF(設定!$E$9="切り上げ",ROUNDUP(ROUND($A6*設定!$B$9,6),0),ROUNDDOWN(ROUND($A6*設定!$B$9,6),0)))*設定!$C$9,6),0))+設定!$D$9),"")</f>
        <v/>
      </c>
      <c r="F6" s="32">
        <f>IF(ISNUMBER($A6),$A6-(IF(設定!$E$10="切り上げ",ROUNDUP(ROUND($A6*設定!$B$10,6),0),ROUNDDOWN(ROUND($A6*設定!$B$10,6),0))+IF(設定!$E$10="切り上げ",ROUNDUP(ROUND(($A6-IF(設定!$E$10="切り上げ",ROUNDUP(ROUND($A6*設定!$B$10,6),0),ROUNDDOWN(ROUND($A6*設定!$B$10,6),0)))*設定!$C$10,6),0),ROUNDDOWN(ROUND(($A6-IF(設定!$E$10="切り上げ",ROUNDUP(ROUND($A6*設定!$B$10,6),0),ROUNDDOWN(ROUND($A6*設定!$B$10,6),0)))*設定!$C$10,6),0))+設定!$D$10),"")</f>
        <v/>
      </c>
      <c r="G6" s="18">
        <f>IF(ISNUMBER(D6),D6-設定!$F$8,"")</f>
        <v/>
      </c>
    </row>
    <row r="7">
      <c r="A7" s="31" t="n">
        <v>1000</v>
      </c>
      <c r="B7" s="32">
        <f>IF(ISNUMBER($A7),$A7-(IF(設定!$E$6="切り上げ",ROUNDUP(ROUND($A7*設定!$B$6,6),0),ROUNDDOWN(ROUND($A7*設定!$B$6,6),0))+IF(設定!$E$6="切り上げ",ROUNDUP(ROUND(($A7-IF(設定!$E$6="切り上げ",ROUNDUP(ROUND($A7*設定!$B$6,6),0),ROUNDDOWN(ROUND($A7*設定!$B$6,6),0)))*設定!$C$6,6),0),ROUNDDOWN(ROUND(($A7-IF(設定!$E$6="切り上げ",ROUNDUP(ROUND($A7*設定!$B$6,6),0),ROUNDDOWN(ROUND($A7*設定!$B$6,6),0)))*設定!$C$6,6),0))+設定!$D$6),"")</f>
        <v/>
      </c>
      <c r="C7" s="32">
        <f>IF(ISNUMBER($A7),$A7-(IF(設定!$E$7="切り上げ",ROUNDUP(ROUND($A7*設定!$B$7,6),0),ROUNDDOWN(ROUND($A7*設定!$B$7,6),0))+IF(設定!$E$7="切り上げ",ROUNDUP(ROUND(($A7-IF(設定!$E$7="切り上げ",ROUNDUP(ROUND($A7*設定!$B$7,6),0),ROUNDDOWN(ROUND($A7*設定!$B$7,6),0)))*設定!$C$7,6),0),ROUNDDOWN(ROUND(($A7-IF(設定!$E$7="切り上げ",ROUNDUP(ROUND($A7*設定!$B$7,6),0),ROUNDDOWN(ROUND($A7*設定!$B$7,6),0)))*設定!$C$7,6),0))+設定!$D$7),"")</f>
        <v/>
      </c>
      <c r="D7" s="32">
        <f>IF(ISNUMBER($A7),$A7-(IF(設定!$E$8="切り上げ",ROUNDUP(ROUND($A7*設定!$B$8,6),0),ROUNDDOWN(ROUND($A7*設定!$B$8,6),0))+IF(設定!$E$8="切り上げ",ROUNDUP(ROUND(($A7-IF(設定!$E$8="切り上げ",ROUNDUP(ROUND($A7*設定!$B$8,6),0),ROUNDDOWN(ROUND($A7*設定!$B$8,6),0)))*設定!$C$8,6),0),ROUNDDOWN(ROUND(($A7-IF(設定!$E$8="切り上げ",ROUNDUP(ROUND($A7*設定!$B$8,6),0),ROUNDDOWN(ROUND($A7*設定!$B$8,6),0)))*設定!$C$8,6),0))+設定!$D$8),"")</f>
        <v/>
      </c>
      <c r="E7" s="32">
        <f>IF(ISNUMBER($A7),$A7-(IF(設定!$E$9="切り上げ",ROUNDUP(ROUND($A7*設定!$B$9,6),0),ROUNDDOWN(ROUND($A7*設定!$B$9,6),0))+IF(設定!$E$9="切り上げ",ROUNDUP(ROUND(($A7-IF(設定!$E$9="切り上げ",ROUNDUP(ROUND($A7*設定!$B$9,6),0),ROUNDDOWN(ROUND($A7*設定!$B$9,6),0)))*設定!$C$9,6),0),ROUNDDOWN(ROUND(($A7-IF(設定!$E$9="切り上げ",ROUNDUP(ROUND($A7*設定!$B$9,6),0),ROUNDDOWN(ROUND($A7*設定!$B$9,6),0)))*設定!$C$9,6),0))+設定!$D$9),"")</f>
        <v/>
      </c>
      <c r="F7" s="32">
        <f>IF(ISNUMBER($A7),$A7-(IF(設定!$E$10="切り上げ",ROUNDUP(ROUND($A7*設定!$B$10,6),0),ROUNDDOWN(ROUND($A7*設定!$B$10,6),0))+IF(設定!$E$10="切り上げ",ROUNDUP(ROUND(($A7-IF(設定!$E$10="切り上げ",ROUNDUP(ROUND($A7*設定!$B$10,6),0),ROUNDDOWN(ROUND($A7*設定!$B$10,6),0)))*設定!$C$10,6),0),ROUNDDOWN(ROUND(($A7-IF(設定!$E$10="切り上げ",ROUNDUP(ROUND($A7*設定!$B$10,6),0),ROUNDDOWN(ROUND($A7*設定!$B$10,6),0)))*設定!$C$10,6),0))+設定!$D$10),"")</f>
        <v/>
      </c>
      <c r="G7" s="18">
        <f>IF(ISNUMBER(D7),D7-設定!$F$8,"")</f>
        <v/>
      </c>
    </row>
    <row r="8">
      <c r="A8" s="31" t="n">
        <v>1500</v>
      </c>
      <c r="B8" s="32">
        <f>IF(ISNUMBER($A8),$A8-(IF(設定!$E$6="切り上げ",ROUNDUP(ROUND($A8*設定!$B$6,6),0),ROUNDDOWN(ROUND($A8*設定!$B$6,6),0))+IF(設定!$E$6="切り上げ",ROUNDUP(ROUND(($A8-IF(設定!$E$6="切り上げ",ROUNDUP(ROUND($A8*設定!$B$6,6),0),ROUNDDOWN(ROUND($A8*設定!$B$6,6),0)))*設定!$C$6,6),0),ROUNDDOWN(ROUND(($A8-IF(設定!$E$6="切り上げ",ROUNDUP(ROUND($A8*設定!$B$6,6),0),ROUNDDOWN(ROUND($A8*設定!$B$6,6),0)))*設定!$C$6,6),0))+設定!$D$6),"")</f>
        <v/>
      </c>
      <c r="C8" s="32">
        <f>IF(ISNUMBER($A8),$A8-(IF(設定!$E$7="切り上げ",ROUNDUP(ROUND($A8*設定!$B$7,6),0),ROUNDDOWN(ROUND($A8*設定!$B$7,6),0))+IF(設定!$E$7="切り上げ",ROUNDUP(ROUND(($A8-IF(設定!$E$7="切り上げ",ROUNDUP(ROUND($A8*設定!$B$7,6),0),ROUNDDOWN(ROUND($A8*設定!$B$7,6),0)))*設定!$C$7,6),0),ROUNDDOWN(ROUND(($A8-IF(設定!$E$7="切り上げ",ROUNDUP(ROUND($A8*設定!$B$7,6),0),ROUNDDOWN(ROUND($A8*設定!$B$7,6),0)))*設定!$C$7,6),0))+設定!$D$7),"")</f>
        <v/>
      </c>
      <c r="D8" s="32">
        <f>IF(ISNUMBER($A8),$A8-(IF(設定!$E$8="切り上げ",ROUNDUP(ROUND($A8*設定!$B$8,6),0),ROUNDDOWN(ROUND($A8*設定!$B$8,6),0))+IF(設定!$E$8="切り上げ",ROUNDUP(ROUND(($A8-IF(設定!$E$8="切り上げ",ROUNDUP(ROUND($A8*設定!$B$8,6),0),ROUNDDOWN(ROUND($A8*設定!$B$8,6),0)))*設定!$C$8,6),0),ROUNDDOWN(ROUND(($A8-IF(設定!$E$8="切り上げ",ROUNDUP(ROUND($A8*設定!$B$8,6),0),ROUNDDOWN(ROUND($A8*設定!$B$8,6),0)))*設定!$C$8,6),0))+設定!$D$8),"")</f>
        <v/>
      </c>
      <c r="E8" s="32">
        <f>IF(ISNUMBER($A8),$A8-(IF(設定!$E$9="切り上げ",ROUNDUP(ROUND($A8*設定!$B$9,6),0),ROUNDDOWN(ROUND($A8*設定!$B$9,6),0))+IF(設定!$E$9="切り上げ",ROUNDUP(ROUND(($A8-IF(設定!$E$9="切り上げ",ROUNDUP(ROUND($A8*設定!$B$9,6),0),ROUNDDOWN(ROUND($A8*設定!$B$9,6),0)))*設定!$C$9,6),0),ROUNDDOWN(ROUND(($A8-IF(設定!$E$9="切り上げ",ROUNDUP(ROUND($A8*設定!$B$9,6),0),ROUNDDOWN(ROUND($A8*設定!$B$9,6),0)))*設定!$C$9,6),0))+設定!$D$9),"")</f>
        <v/>
      </c>
      <c r="F8" s="32">
        <f>IF(ISNUMBER($A8),$A8-(IF(設定!$E$10="切り上げ",ROUNDUP(ROUND($A8*設定!$B$10,6),0),ROUNDDOWN(ROUND($A8*設定!$B$10,6),0))+IF(設定!$E$10="切り上げ",ROUNDUP(ROUND(($A8-IF(設定!$E$10="切り上げ",ROUNDUP(ROUND($A8*設定!$B$10,6),0),ROUNDDOWN(ROUND($A8*設定!$B$10,6),0)))*設定!$C$10,6),0),ROUNDDOWN(ROUND(($A8-IF(設定!$E$10="切り上げ",ROUNDUP(ROUND($A8*設定!$B$10,6),0),ROUNDDOWN(ROUND($A8*設定!$B$10,6),0)))*設定!$C$10,6),0))+設定!$D$10),"")</f>
        <v/>
      </c>
      <c r="G8" s="18">
        <f>IF(ISNUMBER(D8),D8-設定!$F$8,"")</f>
        <v/>
      </c>
    </row>
    <row r="9">
      <c r="A9" s="31" t="n">
        <v>3000</v>
      </c>
      <c r="B9" s="32">
        <f>IF(ISNUMBER($A9),$A9-(IF(設定!$E$6="切り上げ",ROUNDUP(ROUND($A9*設定!$B$6,6),0),ROUNDDOWN(ROUND($A9*設定!$B$6,6),0))+IF(設定!$E$6="切り上げ",ROUNDUP(ROUND(($A9-IF(設定!$E$6="切り上げ",ROUNDUP(ROUND($A9*設定!$B$6,6),0),ROUNDDOWN(ROUND($A9*設定!$B$6,6),0)))*設定!$C$6,6),0),ROUNDDOWN(ROUND(($A9-IF(設定!$E$6="切り上げ",ROUNDUP(ROUND($A9*設定!$B$6,6),0),ROUNDDOWN(ROUND($A9*設定!$B$6,6),0)))*設定!$C$6,6),0))+設定!$D$6),"")</f>
        <v/>
      </c>
      <c r="C9" s="32">
        <f>IF(ISNUMBER($A9),$A9-(IF(設定!$E$7="切り上げ",ROUNDUP(ROUND($A9*設定!$B$7,6),0),ROUNDDOWN(ROUND($A9*設定!$B$7,6),0))+IF(設定!$E$7="切り上げ",ROUNDUP(ROUND(($A9-IF(設定!$E$7="切り上げ",ROUNDUP(ROUND($A9*設定!$B$7,6),0),ROUNDDOWN(ROUND($A9*設定!$B$7,6),0)))*設定!$C$7,6),0),ROUNDDOWN(ROUND(($A9-IF(設定!$E$7="切り上げ",ROUNDUP(ROUND($A9*設定!$B$7,6),0),ROUNDDOWN(ROUND($A9*設定!$B$7,6),0)))*設定!$C$7,6),0))+設定!$D$7),"")</f>
        <v/>
      </c>
      <c r="D9" s="32">
        <f>IF(ISNUMBER($A9),$A9-(IF(設定!$E$8="切り上げ",ROUNDUP(ROUND($A9*設定!$B$8,6),0),ROUNDDOWN(ROUND($A9*設定!$B$8,6),0))+IF(設定!$E$8="切り上げ",ROUNDUP(ROUND(($A9-IF(設定!$E$8="切り上げ",ROUNDUP(ROUND($A9*設定!$B$8,6),0),ROUNDDOWN(ROUND($A9*設定!$B$8,6),0)))*設定!$C$8,6),0),ROUNDDOWN(ROUND(($A9-IF(設定!$E$8="切り上げ",ROUNDUP(ROUND($A9*設定!$B$8,6),0),ROUNDDOWN(ROUND($A9*設定!$B$8,6),0)))*設定!$C$8,6),0))+設定!$D$8),"")</f>
        <v/>
      </c>
      <c r="E9" s="32">
        <f>IF(ISNUMBER($A9),$A9-(IF(設定!$E$9="切り上げ",ROUNDUP(ROUND($A9*設定!$B$9,6),0),ROUNDDOWN(ROUND($A9*設定!$B$9,6),0))+IF(設定!$E$9="切り上げ",ROUNDUP(ROUND(($A9-IF(設定!$E$9="切り上げ",ROUNDUP(ROUND($A9*設定!$B$9,6),0),ROUNDDOWN(ROUND($A9*設定!$B$9,6),0)))*設定!$C$9,6),0),ROUNDDOWN(ROUND(($A9-IF(設定!$E$9="切り上げ",ROUNDUP(ROUND($A9*設定!$B$9,6),0),ROUNDDOWN(ROUND($A9*設定!$B$9,6),0)))*設定!$C$9,6),0))+設定!$D$9),"")</f>
        <v/>
      </c>
      <c r="F9" s="32">
        <f>IF(ISNUMBER($A9),$A9-(IF(設定!$E$10="切り上げ",ROUNDUP(ROUND($A9*設定!$B$10,6),0),ROUNDDOWN(ROUND($A9*設定!$B$10,6),0))+IF(設定!$E$10="切り上げ",ROUNDUP(ROUND(($A9-IF(設定!$E$10="切り上げ",ROUNDUP(ROUND($A9*設定!$B$10,6),0),ROUNDDOWN(ROUND($A9*設定!$B$10,6),0)))*設定!$C$10,6),0),ROUNDDOWN(ROUND(($A9-IF(設定!$E$10="切り上げ",ROUNDUP(ROUND($A9*設定!$B$10,6),0),ROUNDDOWN(ROUND($A9*設定!$B$10,6),0)))*設定!$C$10,6),0))+設定!$D$10),"")</f>
        <v/>
      </c>
      <c r="G9" s="18">
        <f>IF(ISNUMBER(D9),D9-設定!$F$8,"")</f>
        <v/>
      </c>
    </row>
    <row r="10">
      <c r="A10" s="31" t="n">
        <v>5000</v>
      </c>
      <c r="B10" s="32">
        <f>IF(ISNUMBER($A10),$A10-(IF(設定!$E$6="切り上げ",ROUNDUP(ROUND($A10*設定!$B$6,6),0),ROUNDDOWN(ROUND($A10*設定!$B$6,6),0))+IF(設定!$E$6="切り上げ",ROUNDUP(ROUND(($A10-IF(設定!$E$6="切り上げ",ROUNDUP(ROUND($A10*設定!$B$6,6),0),ROUNDDOWN(ROUND($A10*設定!$B$6,6),0)))*設定!$C$6,6),0),ROUNDDOWN(ROUND(($A10-IF(設定!$E$6="切り上げ",ROUNDUP(ROUND($A10*設定!$B$6,6),0),ROUNDDOWN(ROUND($A10*設定!$B$6,6),0)))*設定!$C$6,6),0))+設定!$D$6),"")</f>
        <v/>
      </c>
      <c r="C10" s="32">
        <f>IF(ISNUMBER($A10),$A10-(IF(設定!$E$7="切り上げ",ROUNDUP(ROUND($A10*設定!$B$7,6),0),ROUNDDOWN(ROUND($A10*設定!$B$7,6),0))+IF(設定!$E$7="切り上げ",ROUNDUP(ROUND(($A10-IF(設定!$E$7="切り上げ",ROUNDUP(ROUND($A10*設定!$B$7,6),0),ROUNDDOWN(ROUND($A10*設定!$B$7,6),0)))*設定!$C$7,6),0),ROUNDDOWN(ROUND(($A10-IF(設定!$E$7="切り上げ",ROUNDUP(ROUND($A10*設定!$B$7,6),0),ROUNDDOWN(ROUND($A10*設定!$B$7,6),0)))*設定!$C$7,6),0))+設定!$D$7),"")</f>
        <v/>
      </c>
      <c r="D10" s="32">
        <f>IF(ISNUMBER($A10),$A10-(IF(設定!$E$8="切り上げ",ROUNDUP(ROUND($A10*設定!$B$8,6),0),ROUNDDOWN(ROUND($A10*設定!$B$8,6),0))+IF(設定!$E$8="切り上げ",ROUNDUP(ROUND(($A10-IF(設定!$E$8="切り上げ",ROUNDUP(ROUND($A10*設定!$B$8,6),0),ROUNDDOWN(ROUND($A10*設定!$B$8,6),0)))*設定!$C$8,6),0),ROUNDDOWN(ROUND(($A10-IF(設定!$E$8="切り上げ",ROUNDUP(ROUND($A10*設定!$B$8,6),0),ROUNDDOWN(ROUND($A10*設定!$B$8,6),0)))*設定!$C$8,6),0))+設定!$D$8),"")</f>
        <v/>
      </c>
      <c r="E10" s="32">
        <f>IF(ISNUMBER($A10),$A10-(IF(設定!$E$9="切り上げ",ROUNDUP(ROUND($A10*設定!$B$9,6),0),ROUNDDOWN(ROUND($A10*設定!$B$9,6),0))+IF(設定!$E$9="切り上げ",ROUNDUP(ROUND(($A10-IF(設定!$E$9="切り上げ",ROUNDUP(ROUND($A10*設定!$B$9,6),0),ROUNDDOWN(ROUND($A10*設定!$B$9,6),0)))*設定!$C$9,6),0),ROUNDDOWN(ROUND(($A10-IF(設定!$E$9="切り上げ",ROUNDUP(ROUND($A10*設定!$B$9,6),0),ROUNDDOWN(ROUND($A10*設定!$B$9,6),0)))*設定!$C$9,6),0))+設定!$D$9),"")</f>
        <v/>
      </c>
      <c r="F10" s="32">
        <f>IF(ISNUMBER($A10),$A10-(IF(設定!$E$10="切り上げ",ROUNDUP(ROUND($A10*設定!$B$10,6),0),ROUNDDOWN(ROUND($A10*設定!$B$10,6),0))+IF(設定!$E$10="切り上げ",ROUNDUP(ROUND(($A10-IF(設定!$E$10="切り上げ",ROUNDUP(ROUND($A10*設定!$B$10,6),0),ROUNDDOWN(ROUND($A10*設定!$B$10,6),0)))*設定!$C$10,6),0),ROUNDDOWN(ROUND(($A10-IF(設定!$E$10="切り上げ",ROUNDUP(ROUND($A10*設定!$B$10,6),0),ROUNDDOWN(ROUND($A10*設定!$B$10,6),0)))*設定!$C$10,6),0))+設定!$D$10),"")</f>
        <v/>
      </c>
      <c r="G10" s="18">
        <f>IF(ISNUMBER(D10),D10-設定!$F$8,"")</f>
        <v/>
      </c>
    </row>
    <row r="11">
      <c r="A11" s="31" t="n">
        <v>10000</v>
      </c>
      <c r="B11" s="32">
        <f>IF(ISNUMBER($A11),$A11-(IF(設定!$E$6="切り上げ",ROUNDUP(ROUND($A11*設定!$B$6,6),0),ROUNDDOWN(ROUND($A11*設定!$B$6,6),0))+IF(設定!$E$6="切り上げ",ROUNDUP(ROUND(($A11-IF(設定!$E$6="切り上げ",ROUNDUP(ROUND($A11*設定!$B$6,6),0),ROUNDDOWN(ROUND($A11*設定!$B$6,6),0)))*設定!$C$6,6),0),ROUNDDOWN(ROUND(($A11-IF(設定!$E$6="切り上げ",ROUNDUP(ROUND($A11*設定!$B$6,6),0),ROUNDDOWN(ROUND($A11*設定!$B$6,6),0)))*設定!$C$6,6),0))+設定!$D$6),"")</f>
        <v/>
      </c>
      <c r="C11" s="32">
        <f>IF(ISNUMBER($A11),$A11-(IF(設定!$E$7="切り上げ",ROUNDUP(ROUND($A11*設定!$B$7,6),0),ROUNDDOWN(ROUND($A11*設定!$B$7,6),0))+IF(設定!$E$7="切り上げ",ROUNDUP(ROUND(($A11-IF(設定!$E$7="切り上げ",ROUNDUP(ROUND($A11*設定!$B$7,6),0),ROUNDDOWN(ROUND($A11*設定!$B$7,6),0)))*設定!$C$7,6),0),ROUNDDOWN(ROUND(($A11-IF(設定!$E$7="切り上げ",ROUNDUP(ROUND($A11*設定!$B$7,6),0),ROUNDDOWN(ROUND($A11*設定!$B$7,6),0)))*設定!$C$7,6),0))+設定!$D$7),"")</f>
        <v/>
      </c>
      <c r="D11" s="32">
        <f>IF(ISNUMBER($A11),$A11-(IF(設定!$E$8="切り上げ",ROUNDUP(ROUND($A11*設定!$B$8,6),0),ROUNDDOWN(ROUND($A11*設定!$B$8,6),0))+IF(設定!$E$8="切り上げ",ROUNDUP(ROUND(($A11-IF(設定!$E$8="切り上げ",ROUNDUP(ROUND($A11*設定!$B$8,6),0),ROUNDDOWN(ROUND($A11*設定!$B$8,6),0)))*設定!$C$8,6),0),ROUNDDOWN(ROUND(($A11-IF(設定!$E$8="切り上げ",ROUNDUP(ROUND($A11*設定!$B$8,6),0),ROUNDDOWN(ROUND($A11*設定!$B$8,6),0)))*設定!$C$8,6),0))+設定!$D$8),"")</f>
        <v/>
      </c>
      <c r="E11" s="32">
        <f>IF(ISNUMBER($A11),$A11-(IF(設定!$E$9="切り上げ",ROUNDUP(ROUND($A11*設定!$B$9,6),0),ROUNDDOWN(ROUND($A11*設定!$B$9,6),0))+IF(設定!$E$9="切り上げ",ROUNDUP(ROUND(($A11-IF(設定!$E$9="切り上げ",ROUNDUP(ROUND($A11*設定!$B$9,6),0),ROUNDDOWN(ROUND($A11*設定!$B$9,6),0)))*設定!$C$9,6),0),ROUNDDOWN(ROUND(($A11-IF(設定!$E$9="切り上げ",ROUNDUP(ROUND($A11*設定!$B$9,6),0),ROUNDDOWN(ROUND($A11*設定!$B$9,6),0)))*設定!$C$9,6),0))+設定!$D$9),"")</f>
        <v/>
      </c>
      <c r="F11" s="32">
        <f>IF(ISNUMBER($A11),$A11-(IF(設定!$E$10="切り上げ",ROUNDUP(ROUND($A11*設定!$B$10,6),0),ROUNDDOWN(ROUND($A11*設定!$B$10,6),0))+IF(設定!$E$10="切り上げ",ROUNDUP(ROUND(($A11-IF(設定!$E$10="切り上げ",ROUNDUP(ROUND($A11*設定!$B$10,6),0),ROUNDDOWN(ROUND($A11*設定!$B$10,6),0)))*設定!$C$10,6),0),ROUNDDOWN(ROUND(($A11-IF(設定!$E$10="切り上げ",ROUNDUP(ROUND($A11*設定!$B$10,6),0),ROUNDDOWN(ROUND($A11*設定!$B$10,6),0)))*設定!$C$10,6),0))+設定!$D$10),"")</f>
        <v/>
      </c>
      <c r="G11" s="18">
        <f>IF(ISNUMBER(D11),D11-設定!$F$8,"")</f>
        <v/>
      </c>
    </row>
    <row r="13">
      <c r="A13" s="15" t="inlineStr">
        <is>
          <t>引かれる手数料合計(円) = 決済手数料 + 利用料 + 固定額</t>
        </is>
      </c>
    </row>
    <row r="14" ht="48" customHeight="1">
      <c r="A14" s="9" t="inlineStr">
        <is>
          <t>売値(円)</t>
        </is>
      </c>
      <c r="B14" s="9">
        <f>設定!$A$6</f>
        <v/>
      </c>
      <c r="C14" s="9">
        <f>設定!$A$7</f>
        <v/>
      </c>
      <c r="D14" s="9">
        <f>設定!$A$8</f>
        <v/>
      </c>
      <c r="E14" s="9">
        <f>設定!$A$9</f>
        <v/>
      </c>
      <c r="F14" s="9">
        <f>設定!$A$10</f>
        <v/>
      </c>
    </row>
    <row r="15">
      <c r="A15" s="22">
        <f>A6</f>
        <v/>
      </c>
      <c r="B15" s="18">
        <f>IF(ISNUMBER($A15),IF(設定!$E$6="切り上げ",ROUNDUP(ROUND($A15*設定!$B$6,6),0),ROUNDDOWN(ROUND($A15*設定!$B$6,6),0))+IF(設定!$E$6="切り上げ",ROUNDUP(ROUND(($A15-IF(設定!$E$6="切り上げ",ROUNDUP(ROUND($A15*設定!$B$6,6),0),ROUNDDOWN(ROUND($A15*設定!$B$6,6),0)))*設定!$C$6,6),0),ROUNDDOWN(ROUND(($A15-IF(設定!$E$6="切り上げ",ROUNDUP(ROUND($A15*設定!$B$6,6),0),ROUNDDOWN(ROUND($A15*設定!$B$6,6),0)))*設定!$C$6,6),0))+設定!$D$6,"")</f>
        <v/>
      </c>
      <c r="C15" s="18">
        <f>IF(ISNUMBER($A15),IF(設定!$E$7="切り上げ",ROUNDUP(ROUND($A15*設定!$B$7,6),0),ROUNDDOWN(ROUND($A15*設定!$B$7,6),0))+IF(設定!$E$7="切り上げ",ROUNDUP(ROUND(($A15-IF(設定!$E$7="切り上げ",ROUNDUP(ROUND($A15*設定!$B$7,6),0),ROUNDDOWN(ROUND($A15*設定!$B$7,6),0)))*設定!$C$7,6),0),ROUNDDOWN(ROUND(($A15-IF(設定!$E$7="切り上げ",ROUNDUP(ROUND($A15*設定!$B$7,6),0),ROUNDDOWN(ROUND($A15*設定!$B$7,6),0)))*設定!$C$7,6),0))+設定!$D$7,"")</f>
        <v/>
      </c>
      <c r="D15" s="18">
        <f>IF(ISNUMBER($A15),IF(設定!$E$8="切り上げ",ROUNDUP(ROUND($A15*設定!$B$8,6),0),ROUNDDOWN(ROUND($A15*設定!$B$8,6),0))+IF(設定!$E$8="切り上げ",ROUNDUP(ROUND(($A15-IF(設定!$E$8="切り上げ",ROUNDUP(ROUND($A15*設定!$B$8,6),0),ROUNDDOWN(ROUND($A15*設定!$B$8,6),0)))*設定!$C$8,6),0),ROUNDDOWN(ROUND(($A15-IF(設定!$E$8="切り上げ",ROUNDUP(ROUND($A15*設定!$B$8,6),0),ROUNDDOWN(ROUND($A15*設定!$B$8,6),0)))*設定!$C$8,6),0))+設定!$D$8,"")</f>
        <v/>
      </c>
      <c r="E15" s="18">
        <f>IF(ISNUMBER($A15),IF(設定!$E$9="切り上げ",ROUNDUP(ROUND($A15*設定!$B$9,6),0),ROUNDDOWN(ROUND($A15*設定!$B$9,6),0))+IF(設定!$E$9="切り上げ",ROUNDUP(ROUND(($A15-IF(設定!$E$9="切り上げ",ROUNDUP(ROUND($A15*設定!$B$9,6),0),ROUNDDOWN(ROUND($A15*設定!$B$9,6),0)))*設定!$C$9,6),0),ROUNDDOWN(ROUND(($A15-IF(設定!$E$9="切り上げ",ROUNDUP(ROUND($A15*設定!$B$9,6),0),ROUNDDOWN(ROUND($A15*設定!$B$9,6),0)))*設定!$C$9,6),0))+設定!$D$9,"")</f>
        <v/>
      </c>
      <c r="F15" s="18">
        <f>IF(ISNUMBER($A15),IF(設定!$E$10="切り上げ",ROUNDUP(ROUND($A15*設定!$B$10,6),0),ROUNDDOWN(ROUND($A15*設定!$B$10,6),0))+IF(設定!$E$10="切り上げ",ROUNDUP(ROUND(($A15-IF(設定!$E$10="切り上げ",ROUNDUP(ROUND($A15*設定!$B$10,6),0),ROUNDDOWN(ROUND($A15*設定!$B$10,6),0)))*設定!$C$10,6),0),ROUNDDOWN(ROUND(($A15-IF(設定!$E$10="切り上げ",ROUNDUP(ROUND($A15*設定!$B$10,6),0),ROUNDDOWN(ROUND($A15*設定!$B$10,6),0)))*設定!$C$10,6),0))+設定!$D$10,"")</f>
        <v/>
      </c>
    </row>
    <row r="16">
      <c r="A16" s="22">
        <f>A7</f>
        <v/>
      </c>
      <c r="B16" s="18">
        <f>IF(ISNUMBER($A16),IF(設定!$E$6="切り上げ",ROUNDUP(ROUND($A16*設定!$B$6,6),0),ROUNDDOWN(ROUND($A16*設定!$B$6,6),0))+IF(設定!$E$6="切り上げ",ROUNDUP(ROUND(($A16-IF(設定!$E$6="切り上げ",ROUNDUP(ROUND($A16*設定!$B$6,6),0),ROUNDDOWN(ROUND($A16*設定!$B$6,6),0)))*設定!$C$6,6),0),ROUNDDOWN(ROUND(($A16-IF(設定!$E$6="切り上げ",ROUNDUP(ROUND($A16*設定!$B$6,6),0),ROUNDDOWN(ROUND($A16*設定!$B$6,6),0)))*設定!$C$6,6),0))+設定!$D$6,"")</f>
        <v/>
      </c>
      <c r="C16" s="18">
        <f>IF(ISNUMBER($A16),IF(設定!$E$7="切り上げ",ROUNDUP(ROUND($A16*設定!$B$7,6),0),ROUNDDOWN(ROUND($A16*設定!$B$7,6),0))+IF(設定!$E$7="切り上げ",ROUNDUP(ROUND(($A16-IF(設定!$E$7="切り上げ",ROUNDUP(ROUND($A16*設定!$B$7,6),0),ROUNDDOWN(ROUND($A16*設定!$B$7,6),0)))*設定!$C$7,6),0),ROUNDDOWN(ROUND(($A16-IF(設定!$E$7="切り上げ",ROUNDUP(ROUND($A16*設定!$B$7,6),0),ROUNDDOWN(ROUND($A16*設定!$B$7,6),0)))*設定!$C$7,6),0))+設定!$D$7,"")</f>
        <v/>
      </c>
      <c r="D16" s="18">
        <f>IF(ISNUMBER($A16),IF(設定!$E$8="切り上げ",ROUNDUP(ROUND($A16*設定!$B$8,6),0),ROUNDDOWN(ROUND($A16*設定!$B$8,6),0))+IF(設定!$E$8="切り上げ",ROUNDUP(ROUND(($A16-IF(設定!$E$8="切り上げ",ROUNDUP(ROUND($A16*設定!$B$8,6),0),ROUNDDOWN(ROUND($A16*設定!$B$8,6),0)))*設定!$C$8,6),0),ROUNDDOWN(ROUND(($A16-IF(設定!$E$8="切り上げ",ROUNDUP(ROUND($A16*設定!$B$8,6),0),ROUNDDOWN(ROUND($A16*設定!$B$8,6),0)))*設定!$C$8,6),0))+設定!$D$8,"")</f>
        <v/>
      </c>
      <c r="E16" s="18">
        <f>IF(ISNUMBER($A16),IF(設定!$E$9="切り上げ",ROUNDUP(ROUND($A16*設定!$B$9,6),0),ROUNDDOWN(ROUND($A16*設定!$B$9,6),0))+IF(設定!$E$9="切り上げ",ROUNDUP(ROUND(($A16-IF(設定!$E$9="切り上げ",ROUNDUP(ROUND($A16*設定!$B$9,6),0),ROUNDDOWN(ROUND($A16*設定!$B$9,6),0)))*設定!$C$9,6),0),ROUNDDOWN(ROUND(($A16-IF(設定!$E$9="切り上げ",ROUNDUP(ROUND($A16*設定!$B$9,6),0),ROUNDDOWN(ROUND($A16*設定!$B$9,6),0)))*設定!$C$9,6),0))+設定!$D$9,"")</f>
        <v/>
      </c>
      <c r="F16" s="18">
        <f>IF(ISNUMBER($A16),IF(設定!$E$10="切り上げ",ROUNDUP(ROUND($A16*設定!$B$10,6),0),ROUNDDOWN(ROUND($A16*設定!$B$10,6),0))+IF(設定!$E$10="切り上げ",ROUNDUP(ROUND(($A16-IF(設定!$E$10="切り上げ",ROUNDUP(ROUND($A16*設定!$B$10,6),0),ROUNDDOWN(ROUND($A16*設定!$B$10,6),0)))*設定!$C$10,6),0),ROUNDDOWN(ROUND(($A16-IF(設定!$E$10="切り上げ",ROUNDUP(ROUND($A16*設定!$B$10,6),0),ROUNDDOWN(ROUND($A16*設定!$B$10,6),0)))*設定!$C$10,6),0))+設定!$D$10,"")</f>
        <v/>
      </c>
    </row>
    <row r="17">
      <c r="A17" s="22">
        <f>A8</f>
        <v/>
      </c>
      <c r="B17" s="18">
        <f>IF(ISNUMBER($A17),IF(設定!$E$6="切り上げ",ROUNDUP(ROUND($A17*設定!$B$6,6),0),ROUNDDOWN(ROUND($A17*設定!$B$6,6),0))+IF(設定!$E$6="切り上げ",ROUNDUP(ROUND(($A17-IF(設定!$E$6="切り上げ",ROUNDUP(ROUND($A17*設定!$B$6,6),0),ROUNDDOWN(ROUND($A17*設定!$B$6,6),0)))*設定!$C$6,6),0),ROUNDDOWN(ROUND(($A17-IF(設定!$E$6="切り上げ",ROUNDUP(ROUND($A17*設定!$B$6,6),0),ROUNDDOWN(ROUND($A17*設定!$B$6,6),0)))*設定!$C$6,6),0))+設定!$D$6,"")</f>
        <v/>
      </c>
      <c r="C17" s="18">
        <f>IF(ISNUMBER($A17),IF(設定!$E$7="切り上げ",ROUNDUP(ROUND($A17*設定!$B$7,6),0),ROUNDDOWN(ROUND($A17*設定!$B$7,6),0))+IF(設定!$E$7="切り上げ",ROUNDUP(ROUND(($A17-IF(設定!$E$7="切り上げ",ROUNDUP(ROUND($A17*設定!$B$7,6),0),ROUNDDOWN(ROUND($A17*設定!$B$7,6),0)))*設定!$C$7,6),0),ROUNDDOWN(ROUND(($A17-IF(設定!$E$7="切り上げ",ROUNDUP(ROUND($A17*設定!$B$7,6),0),ROUNDDOWN(ROUND($A17*設定!$B$7,6),0)))*設定!$C$7,6),0))+設定!$D$7,"")</f>
        <v/>
      </c>
      <c r="D17" s="18">
        <f>IF(ISNUMBER($A17),IF(設定!$E$8="切り上げ",ROUNDUP(ROUND($A17*設定!$B$8,6),0),ROUNDDOWN(ROUND($A17*設定!$B$8,6),0))+IF(設定!$E$8="切り上げ",ROUNDUP(ROUND(($A17-IF(設定!$E$8="切り上げ",ROUNDUP(ROUND($A17*設定!$B$8,6),0),ROUNDDOWN(ROUND($A17*設定!$B$8,6),0)))*設定!$C$8,6),0),ROUNDDOWN(ROUND(($A17-IF(設定!$E$8="切り上げ",ROUNDUP(ROUND($A17*設定!$B$8,6),0),ROUNDDOWN(ROUND($A17*設定!$B$8,6),0)))*設定!$C$8,6),0))+設定!$D$8,"")</f>
        <v/>
      </c>
      <c r="E17" s="18">
        <f>IF(ISNUMBER($A17),IF(設定!$E$9="切り上げ",ROUNDUP(ROUND($A17*設定!$B$9,6),0),ROUNDDOWN(ROUND($A17*設定!$B$9,6),0))+IF(設定!$E$9="切り上げ",ROUNDUP(ROUND(($A17-IF(設定!$E$9="切り上げ",ROUNDUP(ROUND($A17*設定!$B$9,6),0),ROUNDDOWN(ROUND($A17*設定!$B$9,6),0)))*設定!$C$9,6),0),ROUNDDOWN(ROUND(($A17-IF(設定!$E$9="切り上げ",ROUNDUP(ROUND($A17*設定!$B$9,6),0),ROUNDDOWN(ROUND($A17*設定!$B$9,6),0)))*設定!$C$9,6),0))+設定!$D$9,"")</f>
        <v/>
      </c>
      <c r="F17" s="18">
        <f>IF(ISNUMBER($A17),IF(設定!$E$10="切り上げ",ROUNDUP(ROUND($A17*設定!$B$10,6),0),ROUNDDOWN(ROUND($A17*設定!$B$10,6),0))+IF(設定!$E$10="切り上げ",ROUNDUP(ROUND(($A17-IF(設定!$E$10="切り上げ",ROUNDUP(ROUND($A17*設定!$B$10,6),0),ROUNDDOWN(ROUND($A17*設定!$B$10,6),0)))*設定!$C$10,6),0),ROUNDDOWN(ROUND(($A17-IF(設定!$E$10="切り上げ",ROUNDUP(ROUND($A17*設定!$B$10,6),0),ROUNDDOWN(ROUND($A17*設定!$B$10,6),0)))*設定!$C$10,6),0))+設定!$D$10,"")</f>
        <v/>
      </c>
    </row>
    <row r="18">
      <c r="A18" s="22">
        <f>A9</f>
        <v/>
      </c>
      <c r="B18" s="18">
        <f>IF(ISNUMBER($A18),IF(設定!$E$6="切り上げ",ROUNDUP(ROUND($A18*設定!$B$6,6),0),ROUNDDOWN(ROUND($A18*設定!$B$6,6),0))+IF(設定!$E$6="切り上げ",ROUNDUP(ROUND(($A18-IF(設定!$E$6="切り上げ",ROUNDUP(ROUND($A18*設定!$B$6,6),0),ROUNDDOWN(ROUND($A18*設定!$B$6,6),0)))*設定!$C$6,6),0),ROUNDDOWN(ROUND(($A18-IF(設定!$E$6="切り上げ",ROUNDUP(ROUND($A18*設定!$B$6,6),0),ROUNDDOWN(ROUND($A18*設定!$B$6,6),0)))*設定!$C$6,6),0))+設定!$D$6,"")</f>
        <v/>
      </c>
      <c r="C18" s="18">
        <f>IF(ISNUMBER($A18),IF(設定!$E$7="切り上げ",ROUNDUP(ROUND($A18*設定!$B$7,6),0),ROUNDDOWN(ROUND($A18*設定!$B$7,6),0))+IF(設定!$E$7="切り上げ",ROUNDUP(ROUND(($A18-IF(設定!$E$7="切り上げ",ROUNDUP(ROUND($A18*設定!$B$7,6),0),ROUNDDOWN(ROUND($A18*設定!$B$7,6),0)))*設定!$C$7,6),0),ROUNDDOWN(ROUND(($A18-IF(設定!$E$7="切り上げ",ROUNDUP(ROUND($A18*設定!$B$7,6),0),ROUNDDOWN(ROUND($A18*設定!$B$7,6),0)))*設定!$C$7,6),0))+設定!$D$7,"")</f>
        <v/>
      </c>
      <c r="D18" s="18">
        <f>IF(ISNUMBER($A18),IF(設定!$E$8="切り上げ",ROUNDUP(ROUND($A18*設定!$B$8,6),0),ROUNDDOWN(ROUND($A18*設定!$B$8,6),0))+IF(設定!$E$8="切り上げ",ROUNDUP(ROUND(($A18-IF(設定!$E$8="切り上げ",ROUNDUP(ROUND($A18*設定!$B$8,6),0),ROUNDDOWN(ROUND($A18*設定!$B$8,6),0)))*設定!$C$8,6),0),ROUNDDOWN(ROUND(($A18-IF(設定!$E$8="切り上げ",ROUNDUP(ROUND($A18*設定!$B$8,6),0),ROUNDDOWN(ROUND($A18*設定!$B$8,6),0)))*設定!$C$8,6),0))+設定!$D$8,"")</f>
        <v/>
      </c>
      <c r="E18" s="18">
        <f>IF(ISNUMBER($A18),IF(設定!$E$9="切り上げ",ROUNDUP(ROUND($A18*設定!$B$9,6),0),ROUNDDOWN(ROUND($A18*設定!$B$9,6),0))+IF(設定!$E$9="切り上げ",ROUNDUP(ROUND(($A18-IF(設定!$E$9="切り上げ",ROUNDUP(ROUND($A18*設定!$B$9,6),0),ROUNDDOWN(ROUND($A18*設定!$B$9,6),0)))*設定!$C$9,6),0),ROUNDDOWN(ROUND(($A18-IF(設定!$E$9="切り上げ",ROUNDUP(ROUND($A18*設定!$B$9,6),0),ROUNDDOWN(ROUND($A18*設定!$B$9,6),0)))*設定!$C$9,6),0))+設定!$D$9,"")</f>
        <v/>
      </c>
      <c r="F18" s="18">
        <f>IF(ISNUMBER($A18),IF(設定!$E$10="切り上げ",ROUNDUP(ROUND($A18*設定!$B$10,6),0),ROUNDDOWN(ROUND($A18*設定!$B$10,6),0))+IF(設定!$E$10="切り上げ",ROUNDUP(ROUND(($A18-IF(設定!$E$10="切り上げ",ROUNDUP(ROUND($A18*設定!$B$10,6),0),ROUNDDOWN(ROUND($A18*設定!$B$10,6),0)))*設定!$C$10,6),0),ROUNDDOWN(ROUND(($A18-IF(設定!$E$10="切り上げ",ROUNDUP(ROUND($A18*設定!$B$10,6),0),ROUNDDOWN(ROUND($A18*設定!$B$10,6),0)))*設定!$C$10,6),0))+設定!$D$10,"")</f>
        <v/>
      </c>
    </row>
    <row r="19">
      <c r="A19" s="22">
        <f>A10</f>
        <v/>
      </c>
      <c r="B19" s="18">
        <f>IF(ISNUMBER($A19),IF(設定!$E$6="切り上げ",ROUNDUP(ROUND($A19*設定!$B$6,6),0),ROUNDDOWN(ROUND($A19*設定!$B$6,6),0))+IF(設定!$E$6="切り上げ",ROUNDUP(ROUND(($A19-IF(設定!$E$6="切り上げ",ROUNDUP(ROUND($A19*設定!$B$6,6),0),ROUNDDOWN(ROUND($A19*設定!$B$6,6),0)))*設定!$C$6,6),0),ROUNDDOWN(ROUND(($A19-IF(設定!$E$6="切り上げ",ROUNDUP(ROUND($A19*設定!$B$6,6),0),ROUNDDOWN(ROUND($A19*設定!$B$6,6),0)))*設定!$C$6,6),0))+設定!$D$6,"")</f>
        <v/>
      </c>
      <c r="C19" s="18">
        <f>IF(ISNUMBER($A19),IF(設定!$E$7="切り上げ",ROUNDUP(ROUND($A19*設定!$B$7,6),0),ROUNDDOWN(ROUND($A19*設定!$B$7,6),0))+IF(設定!$E$7="切り上げ",ROUNDUP(ROUND(($A19-IF(設定!$E$7="切り上げ",ROUNDUP(ROUND($A19*設定!$B$7,6),0),ROUNDDOWN(ROUND($A19*設定!$B$7,6),0)))*設定!$C$7,6),0),ROUNDDOWN(ROUND(($A19-IF(設定!$E$7="切り上げ",ROUNDUP(ROUND($A19*設定!$B$7,6),0),ROUNDDOWN(ROUND($A19*設定!$B$7,6),0)))*設定!$C$7,6),0))+設定!$D$7,"")</f>
        <v/>
      </c>
      <c r="D19" s="18">
        <f>IF(ISNUMBER($A19),IF(設定!$E$8="切り上げ",ROUNDUP(ROUND($A19*設定!$B$8,6),0),ROUNDDOWN(ROUND($A19*設定!$B$8,6),0))+IF(設定!$E$8="切り上げ",ROUNDUP(ROUND(($A19-IF(設定!$E$8="切り上げ",ROUNDUP(ROUND($A19*設定!$B$8,6),0),ROUNDDOWN(ROUND($A19*設定!$B$8,6),0)))*設定!$C$8,6),0),ROUNDDOWN(ROUND(($A19-IF(設定!$E$8="切り上げ",ROUNDUP(ROUND($A19*設定!$B$8,6),0),ROUNDDOWN(ROUND($A19*設定!$B$8,6),0)))*設定!$C$8,6),0))+設定!$D$8,"")</f>
        <v/>
      </c>
      <c r="E19" s="18">
        <f>IF(ISNUMBER($A19),IF(設定!$E$9="切り上げ",ROUNDUP(ROUND($A19*設定!$B$9,6),0),ROUNDDOWN(ROUND($A19*設定!$B$9,6),0))+IF(設定!$E$9="切り上げ",ROUNDUP(ROUND(($A19-IF(設定!$E$9="切り上げ",ROUNDUP(ROUND($A19*設定!$B$9,6),0),ROUNDDOWN(ROUND($A19*設定!$B$9,6),0)))*設定!$C$9,6),0),ROUNDDOWN(ROUND(($A19-IF(設定!$E$9="切り上げ",ROUNDUP(ROUND($A19*設定!$B$9,6),0),ROUNDDOWN(ROUND($A19*設定!$B$9,6),0)))*設定!$C$9,6),0))+設定!$D$9,"")</f>
        <v/>
      </c>
      <c r="F19" s="18">
        <f>IF(ISNUMBER($A19),IF(設定!$E$10="切り上げ",ROUNDUP(ROUND($A19*設定!$B$10,6),0),ROUNDDOWN(ROUND($A19*設定!$B$10,6),0))+IF(設定!$E$10="切り上げ",ROUNDUP(ROUND(($A19-IF(設定!$E$10="切り上げ",ROUNDUP(ROUND($A19*設定!$B$10,6),0),ROUNDDOWN(ROUND($A19*設定!$B$10,6),0)))*設定!$C$10,6),0),ROUNDDOWN(ROUND(($A19-IF(設定!$E$10="切り上げ",ROUNDUP(ROUND($A19*設定!$B$10,6),0),ROUNDDOWN(ROUND($A19*設定!$B$10,6),0)))*設定!$C$10,6),0))+設定!$D$10,"")</f>
        <v/>
      </c>
    </row>
    <row r="20">
      <c r="A20" s="22">
        <f>A11</f>
        <v/>
      </c>
      <c r="B20" s="18">
        <f>IF(ISNUMBER($A20),IF(設定!$E$6="切り上げ",ROUNDUP(ROUND($A20*設定!$B$6,6),0),ROUNDDOWN(ROUND($A20*設定!$B$6,6),0))+IF(設定!$E$6="切り上げ",ROUNDUP(ROUND(($A20-IF(設定!$E$6="切り上げ",ROUNDUP(ROUND($A20*設定!$B$6,6),0),ROUNDDOWN(ROUND($A20*設定!$B$6,6),0)))*設定!$C$6,6),0),ROUNDDOWN(ROUND(($A20-IF(設定!$E$6="切り上げ",ROUNDUP(ROUND($A20*設定!$B$6,6),0),ROUNDDOWN(ROUND($A20*設定!$B$6,6),0)))*設定!$C$6,6),0))+設定!$D$6,"")</f>
        <v/>
      </c>
      <c r="C20" s="18">
        <f>IF(ISNUMBER($A20),IF(設定!$E$7="切り上げ",ROUNDUP(ROUND($A20*設定!$B$7,6),0),ROUNDDOWN(ROUND($A20*設定!$B$7,6),0))+IF(設定!$E$7="切り上げ",ROUNDUP(ROUND(($A20-IF(設定!$E$7="切り上げ",ROUNDUP(ROUND($A20*設定!$B$7,6),0),ROUNDDOWN(ROUND($A20*設定!$B$7,6),0)))*設定!$C$7,6),0),ROUNDDOWN(ROUND(($A20-IF(設定!$E$7="切り上げ",ROUNDUP(ROUND($A20*設定!$B$7,6),0),ROUNDDOWN(ROUND($A20*設定!$B$7,6),0)))*設定!$C$7,6),0))+設定!$D$7,"")</f>
        <v/>
      </c>
      <c r="D20" s="18">
        <f>IF(ISNUMBER($A20),IF(設定!$E$8="切り上げ",ROUNDUP(ROUND($A20*設定!$B$8,6),0),ROUNDDOWN(ROUND($A20*設定!$B$8,6),0))+IF(設定!$E$8="切り上げ",ROUNDUP(ROUND(($A20-IF(設定!$E$8="切り上げ",ROUNDUP(ROUND($A20*設定!$B$8,6),0),ROUNDDOWN(ROUND($A20*設定!$B$8,6),0)))*設定!$C$8,6),0),ROUNDDOWN(ROUND(($A20-IF(設定!$E$8="切り上げ",ROUNDUP(ROUND($A20*設定!$B$8,6),0),ROUNDDOWN(ROUND($A20*設定!$B$8,6),0)))*設定!$C$8,6),0))+設定!$D$8,"")</f>
        <v/>
      </c>
      <c r="E20" s="18">
        <f>IF(ISNUMBER($A20),IF(設定!$E$9="切り上げ",ROUNDUP(ROUND($A20*設定!$B$9,6),0),ROUNDDOWN(ROUND($A20*設定!$B$9,6),0))+IF(設定!$E$9="切り上げ",ROUNDUP(ROUND(($A20-IF(設定!$E$9="切り上げ",ROUNDUP(ROUND($A20*設定!$B$9,6),0),ROUNDDOWN(ROUND($A20*設定!$B$9,6),0)))*設定!$C$9,6),0),ROUNDDOWN(ROUND(($A20-IF(設定!$E$9="切り上げ",ROUNDUP(ROUND($A20*設定!$B$9,6),0),ROUNDDOWN(ROUND($A20*設定!$B$9,6),0)))*設定!$C$9,6),0))+設定!$D$9,"")</f>
        <v/>
      </c>
      <c r="F20" s="18">
        <f>IF(ISNUMBER($A20),IF(設定!$E$10="切り上げ",ROUNDUP(ROUND($A20*設定!$B$10,6),0),ROUNDDOWN(ROUND($A20*設定!$B$10,6),0))+IF(設定!$E$10="切り上げ",ROUNDUP(ROUND(($A20-IF(設定!$E$10="切り上げ",ROUNDUP(ROUND($A20*設定!$B$10,6),0),ROUNDDOWN(ROUND($A20*設定!$B$10,6),0)))*設定!$C$10,6),0),ROUNDDOWN(ROUND(($A20-IF(設定!$E$10="切り上げ",ROUNDUP(ROUND($A20*設定!$B$10,6),0),ROUNDDOWN(ROUND($A20*設定!$B$10,6),0)))*設定!$C$10,6),0))+設定!$D$10,"")</f>
        <v/>
      </c>
    </row>
    <row r="22">
      <c r="A22" s="8" t="inlineStr">
        <is>
          <t>・初期の設定どおりなら、1,000円の手取りは ココナラ780円・BOOTH899円・note855円です(noteはカード払い)。</t>
        </is>
      </c>
    </row>
    <row r="23">
      <c r="A23" s="8" t="inlineStr">
        <is>
          <t>・noteの585円(公式ヘルプの例)は、1件の手取り855円から、振込手数料270円を1回引いた額です。右の列がそれです。</t>
        </is>
      </c>
    </row>
    <row r="24">
      <c r="A24" s="8" t="inlineStr">
        <is>
          <t>・振込手数料は振込1回ごとなので、何件分かまとめて振り込めば、1件あたりの負担は小さくなります。</t>
        </is>
      </c>
    </row>
    <row r="25">
      <c r="A25" s="8" t="inlineStr">
        <is>
          <t>・ココナラ・BOOTHの出金の手数料は入れていません。直接取引は手数料0円の設定なので、売値と同じになります。</t>
        </is>
      </c>
    </row>
  </sheetData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2026-10-21T12:14:20Z</dcterms:created>
  <dcterms:modified xmlns:dcterms="http://purl.org/dc/terms/" xmlns:xsi="http://www.w3.org/2001/XMLSchema-instance" xsi:type="dcterms:W3CDTF">2026-10-21T12:14:20Z</dcterms:modified>
</cp:coreProperties>
</file>